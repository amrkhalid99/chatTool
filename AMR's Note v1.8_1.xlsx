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defaultThemeVersion="124226"/>
  <mc:AlternateContent xmlns:mc="http://schemas.openxmlformats.org/markup-compatibility/2006">
    <mc:Choice Requires="x15">
      <x15ac:absPath xmlns:x15ac="http://schemas.microsoft.com/office/spreadsheetml/2010/11/ac" url="C:\Users\Amr\Desktop\"/>
    </mc:Choice>
  </mc:AlternateContent>
  <xr:revisionPtr revIDLastSave="0" documentId="13_ncr:1_{6CB0E860-E0F0-428F-B66F-0493F1578739}" xr6:coauthVersionLast="47" xr6:coauthVersionMax="47" xr10:uidLastSave="{00000000-0000-0000-0000-000000000000}"/>
  <bookViews>
    <workbookView xWindow="-120" yWindow="-120" windowWidth="29040" windowHeight="15840" firstSheet="1" activeTab="6" xr2:uid="{00000000-000D-0000-FFFF-FFFF00000000}"/>
  </bookViews>
  <sheets>
    <sheet name="Main replies" sheetId="1" state="hidden" r:id="rId1"/>
    <sheet name="VAS" sheetId="2" r:id="rId2"/>
    <sheet name="My Target" sheetId="9" r:id="rId3"/>
    <sheet name="other" sheetId="3" r:id="rId4"/>
    <sheet name="Mail Matrix" sheetId="5" state="hidden" r:id="rId5"/>
    <sheet name="VAT Calculation" sheetId="6" r:id="rId6"/>
    <sheet name="Macro" sheetId="14" r:id="rId7"/>
    <sheet name="Tools" sheetId="10" state="hidden" r:id="rId8"/>
    <sheet name="Say &amp; Dont Say " sheetId="4" state="hidden" r:id="rId9"/>
    <sheet name="Perfomance" sheetId="13" state="hidden" r:id="rId10"/>
  </sheets>
  <externalReferences>
    <externalReference r:id="rId11"/>
  </externalReferences>
  <definedNames>
    <definedName name="_xlnm._FilterDatabase" localSheetId="0" hidden="1">'Main replies'!$A$1:$F$67</definedName>
    <definedName name="Tool_Name">[1]Sheet2!$J$2:$J$298</definedName>
  </definedNames>
  <calcPr calcId="191029"/>
</workbook>
</file>

<file path=xl/calcChain.xml><?xml version="1.0" encoding="utf-8"?>
<calcChain xmlns="http://schemas.openxmlformats.org/spreadsheetml/2006/main">
  <c r="F2" i="13" l="1"/>
  <c r="L2" i="13"/>
  <c r="E3" i="13"/>
  <c r="E4" i="13"/>
  <c r="E5" i="13"/>
  <c r="E6" i="13"/>
  <c r="E7" i="13"/>
  <c r="E8" i="13"/>
  <c r="E9" i="13"/>
  <c r="E10" i="13"/>
  <c r="E2" i="13"/>
  <c r="D33" i="13"/>
  <c r="B16" i="13"/>
  <c r="D5" i="9"/>
  <c r="E3" i="9"/>
  <c r="E33" i="13" l="1"/>
  <c r="C3" i="9"/>
  <c r="D3" i="9"/>
  <c r="F18" i="10" l="1"/>
  <c r="D18" i="10"/>
  <c r="E15" i="10"/>
  <c r="B2" i="6" l="1"/>
  <c r="C2" i="6"/>
  <c r="D2" i="6" s="1"/>
  <c r="B7" i="6"/>
  <c r="B12" i="6"/>
  <c r="E2" i="6" l="1"/>
  <c r="F2" i="6" s="1"/>
</calcChain>
</file>

<file path=xl/sharedStrings.xml><?xml version="1.0" encoding="utf-8"?>
<sst xmlns="http://schemas.openxmlformats.org/spreadsheetml/2006/main" count="1504" uniqueCount="945">
  <si>
    <t>انا موجود هنا عشان اساعد حضرتك اتفضل اقدر اساعدك ازاي ؟</t>
  </si>
  <si>
    <t>استفسار حضرتك بخصوص ايه ؟</t>
  </si>
  <si>
    <t>Gre</t>
  </si>
  <si>
    <t>help</t>
  </si>
  <si>
    <t>مظبوط يا فندم</t>
  </si>
  <si>
    <t>ممكن نجرب الخطوات دي ولو في اي مشكلة تواصل معانا مرة اخري</t>
  </si>
  <si>
    <t>هل وصلت لحضرتك رسالة بالعرض ؟</t>
  </si>
  <si>
    <t xml:space="preserve">بنعتذر لحضرتك جدا بخصوص اي شئ مضايق حضرتك </t>
  </si>
  <si>
    <t>الحمدلله يا فندم اتفضل اقدر اساعد حضرتك ازاي ؟</t>
  </si>
  <si>
    <t>عفوا يا فندم بس ممكن اعرف عنوان حضرتك عشان اعرف المشكلة عامة ولا عند حضرتك فقط ؟</t>
  </si>
  <si>
    <t>انا هنا موجود عشان اساعد حضرتك اتفضل استفسار حضرتك بخصوص اي ؟</t>
  </si>
  <si>
    <t>انا مع حضرتك طبعا بس انا بعتذر طبعا بخصوص اي حاجة ضايقت حضرتك و ان ده شئ يهمنى طبعا</t>
  </si>
  <si>
    <t>حضرتك تقدر تمشي على الخطوات دي ولو في اي عطل ارجعلنا </t>
  </si>
  <si>
    <t>حضرتك تقدر تتابع الاستهلاك بشكل دوري من التطبيق </t>
  </si>
  <si>
    <t xml:space="preserve">الرسالة دي بتوصل بشكل عشوائي للمشتركين 
و متاح العرض دا للخطوط اللي بتسجل على التطبيق لاول مرة فقط ,
 حضرتك مش متاح للخط العرض الخاص بتحميل التطبيق 
لانه حضرتك بتستخدم التطبيق مسبقا و تم الاستفادة من العرض دا </t>
  </si>
  <si>
    <t>app</t>
  </si>
  <si>
    <t>data line</t>
  </si>
  <si>
    <t>ده اللي واضح من خلالي يا فندم زي ما وضحت لحضرتك و اكيد لو في امكانية اوضح لحضرتك اكتر مكنتش اتاخرت</t>
  </si>
  <si>
    <t>ممكن الإستعلام عن طريق #0# أو 400 أو من خلال آبلكيشن اورنچ مجاناً
جرب الكود يا فندم و اختار 3:متابعة الاستهلاك و الشحن</t>
  </si>
  <si>
    <t>remanainng bucket</t>
  </si>
  <si>
    <t>تقدر تشوف عن طريق التطبيق لو متاح هتدفع مع حضرتك ولو متاح تقدر تتابع الطرق الاخرى</t>
  </si>
  <si>
    <t>compansation</t>
  </si>
  <si>
    <t xml:space="preserve"> تطبيق My Orange مجاناً ومش بيستهلك من الإنترنت إلا عند تحميل التطبيق أو التوجه لصفحات خارج التطبيق ... وده أسهل وكمان بيحافظ على سرية الخط. وبنقدر نعرف تفاصيل الإستهلاك أخر 30 يوم من خلال تطبيق My Orange https://myo.orange.eg/my-consumption"</t>
  </si>
  <si>
    <t xml:space="preserve">هيتم تحويل حضرتك بمدير </t>
  </si>
  <si>
    <t>app trb</t>
  </si>
  <si>
    <t>بالنسبة للتطبيق
برجاء التأكد من التالي:
1-تحديث التطبيق لاخر اصدار
2- التأكد من استخدام التطبيق باتصال بيانات الهاتف من نفس الرقم و اغلاق الواي فاي
3- اغلاق التطبيق و فتحه مرة تانية او تفعيل وضع الطيران و الغائه
لو التطبيق غير محدث ممكن نمسحه و نحمله مرة تانية
4- نتأكد من التاريخ و الوقت مظبوط  على التوقيت المحلي</t>
  </si>
  <si>
    <t>app rassed</t>
  </si>
  <si>
    <t>واضح ان القسم المختص حاول يتواصل بحضرتك مرتين 
و حضرتك كان الخط مشغول و حابب اوضح ان هيتم التواصل بحضرتك مرة اخرى في اقرب و اسرع وقت</t>
  </si>
  <si>
    <t xml:space="preserve">بعتذر يا فندم صلاحية العروض و التعويضات غير متاح تعديلها طبقا للساسية العامة الشركة و سارية على كل العملاء </t>
  </si>
  <si>
    <t>offer and compansation</t>
  </si>
  <si>
    <t xml:space="preserve">مفيش عندي تفاصيل اقدر اوضحها بخصوص صلاحية العرض و لما تشحن هتوصل لحضرتك رسالة بكل التفاصيل و الصلاحيه </t>
  </si>
  <si>
    <t>offer</t>
  </si>
  <si>
    <t>promise</t>
  </si>
  <si>
    <t xml:space="preserve">call us </t>
  </si>
  <si>
    <t xml:space="preserve">حضرتك تقدر تفتح ابليكشن ماي اورانج و من خلاله تقدر تتمتع بالهدية او من خلال الكود مع العلم الكود بيكون سعة الهدية اقل من التطبيق وممكن نضغط على اللينك في الرسالة هيرسل حضرتك لصفحة الهدية </t>
  </si>
  <si>
    <t>تم تفعيل الخط لحضرتك يا فندم</t>
  </si>
  <si>
    <t>acvtive</t>
  </si>
  <si>
    <t>GO</t>
  </si>
  <si>
    <t xml:space="preserve">واضح امامي ان باقة GO الاساسية قيد التجديد عشان تقدر تستهلك عرض الضعف محتاج حضرتك تجدد باقة GO هتظهر لحضرتك عادي في التطبيق </t>
  </si>
  <si>
    <t>All in One</t>
  </si>
  <si>
    <t>voice</t>
  </si>
  <si>
    <t>wallet</t>
  </si>
  <si>
    <t>ممكن توضحلي اي سبب الايقاف </t>
  </si>
  <si>
    <t>و حابب اوضح الخط هيفضل مقفول لحين توجه حضرتك للفرع لاستبدال شريحة</t>
  </si>
  <si>
    <t>Mobile Tracing</t>
  </si>
  <si>
    <t>أسفين لخسارتك وبننصحك نتوجة لأقرب قسم شرطة ليك ويكون معاك الرقم المسلسل بتاع بالموبايل المفقود ونعمل بلاغ والجهة المختصة/النيابة هتخاطب الشركة وإحنا هنرد عليهم بشكل مباشر من غير أي تدخل من العملاء وده بناءً على القرار رقم 13 الصادر من مكتب النائب العام (المساعد للتفتيش القضائي لسنة 2007) وممكن تتابع معاهم أو هيتواصلوا معاك.</t>
  </si>
  <si>
    <r>
      <t xml:space="preserve">طلب الإيقاف المؤقت بيتنفذ خلال ساعة، ممكن توضيح </t>
    </r>
    <r>
      <rPr>
        <b/>
        <sz val="10"/>
        <color rgb="FFC00000"/>
        <rFont val="Helvetica 55 Roman"/>
        <family val="2"/>
      </rPr>
      <t>XXXXX</t>
    </r>
    <r>
      <rPr>
        <sz val="10"/>
        <color theme="1"/>
        <rFont val="Helvetica 55 Roman"/>
        <family val="2"/>
      </rPr>
      <t xml:space="preserve">
لكن عشان نحافظ على الخط ومايتمش إلغائه نهائياً، لازم نعيد تشغيل الخط ونشحن أو نرسل أو نستقبل مكالمة أو رسالة من أي شبكة، أو نستخدم الإنترنت خلال 3 شهور من أخر إستخدام للخط.
ولو محتاجين نوقف الخط فترة أطول من كده لو هيتم السفر، ممكن يتم شراء صلاحية عشان الخط مايتمش إلغائه نهائياً.</t>
    </r>
  </si>
  <si>
    <r>
      <t>Voluntary Suspension</t>
    </r>
    <r>
      <rPr>
        <b/>
        <sz val="10"/>
        <color rgb="FFC00000"/>
        <rFont val="Helvetica 55 Roman"/>
        <family val="2"/>
      </rPr>
      <t xml:space="preserve">
ALO &amp; Hybrid
XXXXX</t>
    </r>
    <r>
      <rPr>
        <sz val="10"/>
        <color rgb="FFC00000"/>
        <rFont val="Helvetica 55 Roman"/>
        <family val="2"/>
      </rPr>
      <t>= The needed verification</t>
    </r>
  </si>
  <si>
    <t>FREEZE YOUR LINE</t>
  </si>
  <si>
    <t>يهمنا وجودك معانا
لو في مشكلة بتواجهك إحنا موجودين عشان نحلها وهيتم التواصل من خلال الرسائل.</t>
  </si>
  <si>
    <r>
      <t xml:space="preserve">Port Out
Step 1 </t>
    </r>
    <r>
      <rPr>
        <b/>
        <sz val="10"/>
        <color rgb="FFFF7900"/>
        <rFont val="Helvetica 55 Roman"/>
        <family val="2"/>
      </rPr>
      <t xml:space="preserve">Public
</t>
    </r>
    <r>
      <rPr>
        <b/>
        <sz val="10"/>
        <color theme="1"/>
        <rFont val="Helvetica 55 Roman"/>
        <family val="2"/>
      </rPr>
      <t xml:space="preserve">With Private Message
</t>
    </r>
    <r>
      <rPr>
        <b/>
        <sz val="10"/>
        <color rgb="FFC00000"/>
        <rFont val="Helvetica 55 Roman"/>
        <family val="2"/>
      </rPr>
      <t>kindly use before providing the Port out details</t>
    </r>
  </si>
  <si>
    <r>
      <t xml:space="preserve">Port Out
Step 2
</t>
    </r>
    <r>
      <rPr>
        <sz val="10"/>
        <color rgb="FFC00000"/>
        <rFont val="Helvetica 55 Roman"/>
        <family val="2"/>
      </rPr>
      <t>Please remove the red part if already provided</t>
    </r>
    <r>
      <rPr>
        <b/>
        <sz val="10"/>
        <color rgb="FFC00000"/>
        <rFont val="Helvetica 55 Roman"/>
        <family val="2"/>
      </rPr>
      <t xml:space="preserve"> Port Out Step 1</t>
    </r>
  </si>
  <si>
    <r>
      <t xml:space="preserve">نقدر نحول بعد مرور 4 شهور من تشغيل الخط والتحويل بيتم في خلال يوم عمل واحد (غير شامل الجمعة والسبت).
التحويل بيتم عن طريق فرع الشبكة المطلوب الإنضمام ليها بالبطاقة الشخصية والخط مايكونش موقوف أو عليه غرامة ونقدر نحول الخط على أي نظام بغض النظر عن النظام إللي الخط عليه حالياً سواء كان الكارت أو إشتراك شهري أو كنترول 
وبالنسبة للفواتير المستحقة يجب سدادها والمبالغ الغير مفوترة بيكون لازم سدادها خلال 30 يوم من إصدار فاتورة التسوية النهائية
 وبعد إتمام التحويل بيكون متاح تقديم طلب مرة تانية بعد 4 شهور وإلغاء أي طلب تحويل بيتم عن طريق فرع الشبكة المطلوب الإنضمام ليها
</t>
    </r>
    <r>
      <rPr>
        <sz val="10"/>
        <color rgb="FFC00000"/>
        <rFont val="Helvetica 55 Roman"/>
        <family val="2"/>
      </rPr>
      <t>ونستأذنك توضحلنا سبب التحويل وتأكد إن هيتم عمل اللازم.</t>
    </r>
  </si>
  <si>
    <t>DSL</t>
  </si>
  <si>
    <t xml:space="preserve">Port out </t>
  </si>
  <si>
    <r>
      <t xml:space="preserve">PUK Code
</t>
    </r>
    <r>
      <rPr>
        <b/>
        <sz val="10"/>
        <color rgb="FFC00000"/>
        <rFont val="Helvetica 55 Roman"/>
        <family val="2"/>
      </rPr>
      <t>Private</t>
    </r>
    <r>
      <rPr>
        <sz val="10"/>
        <color theme="1"/>
        <rFont val="Helvetica 55 Roman"/>
        <family val="2"/>
      </rPr>
      <t xml:space="preserve">
</t>
    </r>
    <r>
      <rPr>
        <sz val="10"/>
        <color rgb="FFC00000"/>
        <rFont val="Helvetica 55 Roman"/>
        <family val="2"/>
      </rPr>
      <t>Customer Verified Or No need For Verification</t>
    </r>
  </si>
  <si>
    <r>
      <t xml:space="preserve">رمز الـ PUK هو </t>
    </r>
    <r>
      <rPr>
        <b/>
        <sz val="10"/>
        <color rgb="FFC00000"/>
        <rFont val="Helvetica 55 Roman"/>
        <family val="2"/>
      </rPr>
      <t>XXXX</t>
    </r>
    <r>
      <rPr>
        <sz val="10"/>
        <color theme="1"/>
        <rFont val="Helvetica 55 Roman"/>
        <family val="2"/>
      </rPr>
      <t xml:space="preserve">
ونقدر نعرف رمز الـ PUK بكل سهولة عن طريق الإتصال بالرقم 01223204400 من أي موبايل أو تليفون أرضي بسعر الدقيقة العادية من الخط إللي بنتصل منه لاورنچ.
أو من نفس الرقم نقدر نستعلم عن طريق 400 مجاناً، كمان نقدر نستعلم عن الـ PUK1 الخاص بأي رقم تاني بعد إدخال رمز الحماية الخاص بيه.
كمان ممكن نحصل على رمز الـ PUK مجاناً عن طريق الكود #100# من خلال قائمة معلومات عن الحساب.
&gt;&gt; بندخل رمز الـ PUK وبنضغط موافق، هيطلب رقم شخصي جديد، هندخل أي 4 أرقام من إختيارك بس مايكونش فيهم * أو #.
بعد كده هيطلب تأكيد الرقم مرة تانية، هندخل نفس الـ 4 أرقام، والخط هيشتغل بشكل سليم.
وطبعاً الـ 4 أرقام دول هيكونوا الرمز الشخصي (الـ PIN) الجديد.</t>
    </r>
  </si>
  <si>
    <t xml:space="preserve">PUK  </t>
  </si>
  <si>
    <r>
      <t xml:space="preserve">Data Dispute
</t>
    </r>
    <r>
      <rPr>
        <sz val="10"/>
        <color rgb="FFC00000"/>
        <rFont val="Helvetica 55 Roman"/>
        <family val="2"/>
      </rPr>
      <t>To Be Used Any Prepaid، Hybrid and Business C&amp;C</t>
    </r>
  </si>
  <si>
    <t>اورنچ بتحدث الأنظمة بشكل مستمر وتأكد إن مش بيكون في أي خصومات من غير سبب.
استاذنك نوقف automatic data retrieval من موبايلك ونجرب، لإن ممكن ده يكون سبب إستهلاك الإنترنت.
وإحنا راجعنا وطريقة المحاسبة مظبوطة والإستهلاك بيكون راجع لإستخدامك حتى لو بنستخدم الإنترنت في التصفح فقط.
وممكن المراجعة على إستهلاكك من خلال التليفون وهيوضحلك النسب التقريبية إللي تم إستخدامها بالميجابايت ولمعرفة المتبقي من الباقة وللتحكم فيها؛ بيكون من خلال الإتصال مجاناً بـ #136# أو إرسال رسالة لرقم 7455 مكتوب فيها #136# مجاناً.
وفي أسباب كتير بتأثر على إستهلاك باقة الإنترنت بطريقة سريعة، منها:
- إتاحة التحديث التلقائي للتطبيقات
- تحديث الإيميل على الموبايل تلقائياً (Auto sync/Push)
- تشغيل بيانات في الخلفية للتطبيقات (Background app data)
- تشغيل التنزيل التلقائي لصور وفيديوهات الواتساب أو تطبيقات المحادثة المماثلة (Media Auto download)
- إختيار أعلى جودة (HD) لمشاهدة الفيديوهات online زي اليوتيوب أو تشغيل الفيديوهات أوتوماتيك على فيسبوك (ساعة على اليوتيوب على جودة 360 pixels بحوالي 250 ميجا)
- تشغيل خدمة الـ Hotspot وإستخدام الموبايل كـ مودم Wi-Fi
- الـ GPS في حالة إعتماده على الموبايل إنترنت
- في حالة إستخدام خرائط جوجل بطريقة متكررة، يُنصح بتنزيل الخرائط لإستخدامها بدون إنترنت لاحقاً (Download Offline Maps)
- عند إستخدام الـ Wi-Fi، يُنصح بعدم تشغيل خاصية التبديل بين الشبكات؛ لإستمرار دعم الإتصال بالإنترنت في حالة ضعف الـ Wi-Fi
وممكن توضيح إحتىاجاتك وإحنا هننصحك بأكتر باقة تكون مناسبة لإستخدامك، وبكده هنكون وفرنا.
وبشكل عام للتحكم ومتابعة إستهلاك الإنترنت؛ ممكن نستخدم آبلكيشن اورنچ، وإستخدام التطبيق مجاناً، أو من خلال #100#.
https://myo.orange.eg/DB
وبنقدر نعرف تفاصيل الإستهلاك أخر 30 يوم من خلال آبلكيشن اورنچ</t>
  </si>
  <si>
    <r>
      <t xml:space="preserve">Data Dispute
</t>
    </r>
    <r>
      <rPr>
        <sz val="10"/>
        <color rgb="FFC00000"/>
        <rFont val="Helvetica 55 Roman"/>
        <family val="2"/>
      </rPr>
      <t xml:space="preserve">To Be Used With Postpaid Consumer or Business &amp; Consumer Star Bill
</t>
    </r>
    <r>
      <rPr>
        <b/>
        <sz val="10"/>
        <color rgb="FFC00000"/>
        <rFont val="Helvetica 55 Roman"/>
        <family val="2"/>
      </rPr>
      <t>Step 1</t>
    </r>
  </si>
  <si>
    <t>اورنچ بتحدث الأنظمة بشكل مستمر وتأكد إن مش بيكون في أي خصومات من غير سبب.
استاذنك نوقف automatic data retrieval من موبايلك ونجرب، لإن ممكن ده يكون سبب إستهلاك الإنترنت.
وإحنا راجعنا وطريقة المحاسبة مظبوطة والإستهلاك بيكون راجع لإستخدامك حتى لو بنستخدم الإنترنت في التصفح فقط.
وممكن المراجعة على إستهلاكك من خلال التليفون وهيوضحلك النسب التقريبية إللي تم إستخدامها بالميجابايت ولمعرفة المتبقي من الباقة وللتحكم فيها؛ بيكون من خلال الإتصال مجاناً بـ #136# أو إرسال رسالة لرقم 7455 مكتوب فيها #136# مجاناً.
وبشكل عام للتحكم ومتابعة إستهلاك الإنترنت؛ ممكن نستخدم آبلكيشن اورنچ، وإستخدام التطبيق مجاناً، أو من خلال #100#.
https://myo.orange.eg/DB</t>
  </si>
  <si>
    <r>
      <t xml:space="preserve">Data Dispute
</t>
    </r>
    <r>
      <rPr>
        <sz val="10"/>
        <color rgb="FFC00000"/>
        <rFont val="Helvetica 55 Roman"/>
        <family val="2"/>
      </rPr>
      <t xml:space="preserve">To Be Used With Postpaid Consumer or Business &amp; Consumer Star Bill
</t>
    </r>
    <r>
      <rPr>
        <b/>
        <sz val="10"/>
        <color rgb="FFC00000"/>
        <rFont val="Helvetica 55 Roman"/>
        <family val="2"/>
      </rPr>
      <t>Step 2
In case customer is asking about consumption reasons</t>
    </r>
  </si>
  <si>
    <t>في أسباب كتير بتأثر على إستهلاك باقة الإنترنت بطريقة سريعة، منها:
- إتاحة التحديث التلقائي للتطبيقات
- تحديث الإيميل على الموبايل تلقائياً (Auto sync/Push)
- تشغيل بيانات في الخلفية للتطبيقات (Background app data)
- تشغيل التنزيل التلقائي لصور وفيديوهات الواتساب أو تطبيقات المحادثة المماثلة (Media Auto download)
- إختيار أعلى جودة (HD) لمشاهدة الفيديوهات online زي اليوتيوب أو تشغيل الفيديوهات أوتوماتيك على فيسبوك (ساعة على اليوتيوب على جودة 360 pixels بحوالي 250 ميجا)
- تشغيل خدمة الـ Hotspot وإستخدام الموبايل كـ مودم Wi-Fi
- الـ GPS في حالة إعتماده على الموبايل إنترنت
- في حالة إستخدام خرائط جوجل بطريقة متكررة، يُنصح بتنزيل الخرائط لإستخدامها بدون إنترنت لاحقاً (Download Offline Maps)
- عند إستخدام الـ Wi-Fi، يُنصح بعدم تشغيل خاصية التبديل بين الشبكات؛ لإستمرار دعم الإتصال بالإنترنت في حالة ضعف الـ Wi-Fi
وممكن توضيح إحتىاجاتك وإحنا هننصحك بأكتر باقة تكون مناسبة لإستخدامك، وبكده هنكون وفرنا.
وبشكل عام للتحكم ومتابعة إستهلاك الإنترنت؛ ممكن نستخدم آبلكيشن اورنچ، وإستخدام التطبيق مجاناً، أو من خلال #100#.
https://myo.orange.eg/DB</t>
  </si>
  <si>
    <t xml:space="preserve">Data Dispute  </t>
  </si>
  <si>
    <t>الخط تالف يا فندم حضرتك محتاج تشرفنا في فروعنا و تستبدل الشريحة 
ممكن نعرف أقرب فرع والمواعيد من هنا https://backend.orange.eg/deeplinkredirect.html?screen=findstore</t>
  </si>
  <si>
    <r>
      <t xml:space="preserve">SIM Replacement
SIM Swap Complaints
</t>
    </r>
    <r>
      <rPr>
        <sz val="10"/>
        <color rgb="FFC00000"/>
        <rFont val="Helvetica 55 Roman"/>
        <family val="2"/>
      </rPr>
      <t xml:space="preserve">In case line is registered with </t>
    </r>
    <r>
      <rPr>
        <b/>
        <sz val="10"/>
        <color rgb="FFC00000"/>
        <rFont val="Helvetica 55 Roman"/>
        <family val="2"/>
      </rPr>
      <t xml:space="preserve">different data/no data
</t>
    </r>
    <r>
      <rPr>
        <sz val="10"/>
        <color theme="1"/>
        <rFont val="Helvetica 55 Roman"/>
        <family val="2"/>
      </rPr>
      <t>SIM swap fees is repriced to be 20 EGP instead of 5 EGP</t>
    </r>
  </si>
  <si>
    <t>بنتوجه لأقرب فرع بالبطاقة الشخصية، وبيتم إستبدال الشريحة مقابل 20 جنيه ... ومجاناً لو أول مرة هنستبدل الشريحة القديمة 3G بشريحة جديدة USIM 4G، ولفترة محدودة ممكن نكسب لحد 10 جيجابايتس صالحة لمدة إسبوع هدية من اورنچ.
وهنحتاج يكون معانا العقد الخاص بالخط، ولو في أي إجراء آخر بيتم توضيحه من خلال الفرع.
ممكن نعرف أقرب فرع والمواعيد من هنا
https://backend.orange.eg/deeplinkredirect.html?screen=findstore</t>
  </si>
  <si>
    <r>
      <t xml:space="preserve">SIM Replacement
SIM Swap Complaints
</t>
    </r>
    <r>
      <rPr>
        <sz val="10"/>
        <color rgb="FFC00000"/>
        <rFont val="Helvetica 55 Roman"/>
        <family val="2"/>
      </rPr>
      <t/>
    </r>
  </si>
  <si>
    <t>verf</t>
  </si>
  <si>
    <t>الاسم و الرقم القومي غير مطابقين</t>
  </si>
  <si>
    <t>حضرتك بترجع للمفوض وهو بيقدر يساعد حضرتك </t>
  </si>
  <si>
    <t>B2B</t>
  </si>
  <si>
    <t xml:space="preserve">حضرتك هتكلم 250 بالرقم التفويضي و هما هيساعده حضرتك باضافة الباقة </t>
  </si>
  <si>
    <t xml:space="preserve">SIM Replacement  </t>
  </si>
  <si>
    <t>ممكن توضحلي الاستفسار بشكل ادق عشان اقدر اساعد حضرتك ؟</t>
  </si>
  <si>
    <t>units</t>
  </si>
  <si>
    <t>Alerting</t>
  </si>
  <si>
    <r>
      <t xml:space="preserve">New Subscription
New Wallet
</t>
    </r>
    <r>
      <rPr>
        <sz val="10"/>
        <color theme="1"/>
        <rFont val="Helvetica 55 Roman"/>
        <family val="2"/>
      </rPr>
      <t>Consumer Segment</t>
    </r>
  </si>
  <si>
    <t>الإشتراك في الخدمة بيكون من خلال زيارة أقرب فرع بالبطاقة الشخصية وخطك يكون شغال بشكل سليم ومسجل ببياناتك الشخصية ويكون السن 15 سنة أو أكتر، والإشتراك في الخدمة مجاناً وبيكون في ضريبة مطلوب سدادها بقيمة 3.57 جنيه.
وبنقدر نستخدم الخدمة من خلال اورنچ كاش على تطبيق My Orange أو #7115# أو الخدمة الصوتية.
بعد الإشتراك هتوصلك رسالة فيها الكود السري، لازم يتم تغيير الكود السري عشان نستخدم الخدمة من خلال #7115# ونيبع الخطوات إللي على القائمة.
وممكن مراجعة تفاصيل أكتر عن الخدمة من اللينك ده
https://www.orange.eg/ar/services/Orange-financial-services
ممكن نعرف أقرب فرع والمواعيد من هنا
https://backend.orange.eg/deeplinkredirect.html?screen=findstore</t>
  </si>
  <si>
    <t>Orange cash</t>
  </si>
  <si>
    <t>IVR</t>
  </si>
  <si>
    <t>slow</t>
  </si>
  <si>
    <t>outage</t>
  </si>
  <si>
    <t>Q?</t>
  </si>
  <si>
    <t>حضرتك اتصل ب 400 و اختار النظام اللي حضرتك تعاقدت عليه في الفرع </t>
  </si>
  <si>
    <t xml:space="preserve">موضح من خلالي ان بالفعل حضرتك استخدمت التطبيق من قبل ف بالتالي العرض مش متاح </t>
  </si>
  <si>
    <t>app comp</t>
  </si>
  <si>
    <t>ارضاءا لحضرتك يا فندم هيتم تعويض حضرتك ب 2 جيجا صالحين لمدة اسبوع و بعتذر جدا بخصوص اي شئ ضايق حضرتك </t>
  </si>
  <si>
    <t>تم اضافة ال 2 جيجا تحب اساعد حضرتك ب اي حاجة تانية؟</t>
  </si>
  <si>
    <t>TRP</t>
  </si>
  <si>
    <t>msg offer</t>
  </si>
  <si>
    <t xml:space="preserve">حابب اوضح لحضرتك ان خط الداتا بيكون فقط مخصص للداتا و اجهزتها زي الماي فاي و الهوم وايرلس
و بالتالي بيكون غير متاح ان احنا نحول الخط من داتا لخط عادي حضرتك تقدر تشرفنا في الفروع و تشتري خط </t>
  </si>
  <si>
    <t xml:space="preserve">قمت من خلالي بخطوة تنشيطية على الباقة تقدر تقفل الراوتر و تفتحه تاني و تجرب ولو في اي مشكلة تواصل معنا </t>
  </si>
  <si>
    <t>HW</t>
  </si>
  <si>
    <t>Call Tone Deletion
Prepaid</t>
  </si>
  <si>
    <t>لإلغاء خدمة الكول تون ♬ ممكن نتصل برقم 9999 (سعر الدقيقة 50 قرش ونضغط رقم 9 - 4 - 1)، أو نبعت رسالة لـ 9999 مجاناً فيها كلمة إلغاء أو unsub، أو الكود #155*، أو من خلال تطبيق My Orange، وبيتم الإلغاء فى خلال ساعة.
وبما إن تكلفتها إتخصمت بالكامل من الرصيد؛ فا كده مش هنتحاسب عليها تاني، إلا إذا كان في أي مبالغ متأخرة من قبل كده لعدم الشحن، فهتتخصم تلقائي من الرصيد عند الشحن.
وممكن إلغاء بعض خدمات اورنچ عن طريق الكود الموحد #155*</t>
  </si>
  <si>
    <t>CALL TONE</t>
  </si>
  <si>
    <t>http://orangepedia/Products/Services/Pages/Repetitive-Follow-Up-Calls-Handling.aspx</t>
  </si>
  <si>
    <t>\\mob-fs-01\Digital Channels\Saved Replies\Sheets</t>
  </si>
  <si>
    <t>Saved Replies</t>
  </si>
  <si>
    <t>Repetitive-Follow-Up-Calls-Handling</t>
  </si>
  <si>
    <t xml:space="preserve">شكرا جزيلا لاستخدامك خدمة دعم اورنچ و بنتمالك يوم سعيد </t>
  </si>
  <si>
    <t>ending</t>
  </si>
  <si>
    <t xml:space="preserve">هحول حضرتك دلوقتي لقسم "الانترنت الارضي" عشان يساعدوا حضرتك , برجاء الانتظار و هيدخل موظف يرد على حضرتك من جانب القسم المختص في اسرع وقت, </t>
  </si>
  <si>
    <t>احنا خدمة شات مش متاح تشغيل ملفات الصوتية , برجاء كتابة استفسارك</t>
  </si>
  <si>
    <t>رقم الواتساب اللي بنتواصل منه مش مشترك مع اورنج ممكن نوضح الرقم اللي بنستفسر عنه ؟</t>
  </si>
  <si>
    <t>للعلم مش هيكون متاح للرقم الموضح عرض بخصوص التسجيل على التطبيق مرة تانية لان العرض دا متاح للرقم مرة واحدة عند التسجيل على التطبيق لاول مرة فقط</t>
  </si>
  <si>
    <t>app offer</t>
  </si>
  <si>
    <t>ممكن اسكرين من شكل الشبكة ظاهرة ازاي في تليفون حضرتك ؟</t>
  </si>
  <si>
    <t>network</t>
  </si>
  <si>
    <t>الرقم المسلسل بيكون مكتوب في ضهر الخط استاذنك وضحه</t>
  </si>
  <si>
    <t>SIM serial</t>
  </si>
  <si>
    <t>ممكن الاسم رباعي و الرقم القومي و العنوان و تاريخ الميلاد ؟</t>
  </si>
  <si>
    <t>تم تفعيل الخط لحضرتك يا فندم و هيتشغل مع حضرتك خلال ساعة يا فندم</t>
  </si>
  <si>
    <t>Voluntary Suspension</t>
  </si>
  <si>
    <t>واضح امامي ان في شكوى مقدمة لحضرتك بخصوص الخصم الخاص بالباقة و الشكوى ما زال جاري العمل عليها بمجرد ما القسم المختص ينتهي من العمل عليها هيوضح لحضرتك الرد</t>
  </si>
  <si>
    <r>
      <t>WI-FI Calling / Voice over Wi-Fi</t>
    </r>
    <r>
      <rPr>
        <b/>
        <sz val="10"/>
        <color rgb="FFC00000"/>
        <rFont val="Helvetica 55 Roman"/>
        <family val="2"/>
      </rPr>
      <t xml:space="preserve">
For Eligible Devices not on the shared list or Devices which are Coming Soon
</t>
    </r>
    <r>
      <rPr>
        <sz val="10"/>
        <color rgb="FFC00000"/>
        <rFont val="Helvetica 55 Roman"/>
        <family val="2"/>
      </rPr>
      <t>No dial Provided / Service not active on line</t>
    </r>
  </si>
  <si>
    <t>الخدمة هتبقى متوفرة قريباً على كل الموديلات المتاح ليها الخدمة.
مع العلم إن إتاحتها بيرتبط بالشركة المصنعة للتليفون وتحديثها لنظام التشغيل/Software الخاص بها وده لازم يتم قبل طلب الإشتراك فيها.
والخدمة نفسها متوفرة، لو معانا حالياً جهاز بيدعمها وشريحتك 4G، نقدر نضيفها من #0123# أو من خلال تطبيق My Orange أو من خلالنا.</t>
  </si>
  <si>
    <t>WI-FI Calling</t>
  </si>
  <si>
    <t>Type of reply</t>
  </si>
  <si>
    <t>Say</t>
  </si>
  <si>
    <t>Don’t say</t>
  </si>
  <si>
    <t>English</t>
  </si>
  <si>
    <t>Arabic</t>
  </si>
  <si>
    <t>Clarify customer's inquiry</t>
  </si>
  <si>
    <t>would you please clarify your message ?</t>
  </si>
  <si>
    <t>علشان نقدر نراجع لحضرتك علي المعلومة دي رجاء توضيح .....؟</t>
  </si>
  <si>
    <t>clarify</t>
  </si>
  <si>
    <t>ممكن ترد علي سؤالي عشان اساعدك ؟</t>
  </si>
  <si>
    <t>Confirmation</t>
  </si>
  <si>
    <t>If I’m not mistaken, the problem seems to be that…?</t>
  </si>
  <si>
    <t xml:space="preserve"> - حضرتك تقصد ان ....؟</t>
  </si>
  <si>
    <t>“I don’t understand”</t>
  </si>
  <si>
    <t xml:space="preserve">انا مش فاهم ....
</t>
  </si>
  <si>
    <t>Ending conversation
مش بنقول للعميل (في اي استفسار اخر ) غير لما يخلص المحادثة تماما</t>
  </si>
  <si>
    <t>I wish I was able to help you :) 
Do you have any questions or other help?
-
I hope I was able to provide you with the required service.
Do you have any questions or other help?</t>
  </si>
  <si>
    <t xml:space="preserve">اتمني اكون قدرت اساعد حضرتك 
- هل في اى استفسار او مساعدة اخري ؟
-اتمني اكون قدمت لحضرتك الخدمة المطلوبة ؟
</t>
  </si>
  <si>
    <t>Any other inquiry?
Any other Question?</t>
  </si>
  <si>
    <t>في اي استفسار أخر؟
في سؤال تاني</t>
  </si>
  <si>
    <t xml:space="preserve">Answering on an inquiry
الرد مش بيكون فيه اي تردد او كلمات تعبر عن   
الشك 
لازم اكون واثق فالرد </t>
  </si>
  <si>
    <t>I believe we’re dealing with…
Based on what you’ve described, the issue is most likely…</t>
  </si>
  <si>
    <t>تاكد يافندم بان ...
بناء علي اللي حضرتك وضحته فـــ......</t>
  </si>
  <si>
    <t>I’m not sure / I guess</t>
  </si>
  <si>
    <t>يافندم احتمال ان ...
انا شاكك بان المشكلة في...</t>
  </si>
  <si>
    <t>Handling Customer's Anger</t>
  </si>
  <si>
    <t>I understand how this must have upset you, and I’ll get on it immediately.
I’m sorry to hear about your frustration. Let me help you with that right away.</t>
  </si>
  <si>
    <t>بعتذرلك ومقدر شكوي حضرتك ،وهساعد حضرتك في حلها عن طريق ....</t>
  </si>
  <si>
    <t>Calm down</t>
  </si>
  <si>
    <t>ممكن تهدى!
ممكن تلتزم بسياق المحادثة</t>
  </si>
  <si>
    <t xml:space="preserve">put the customer on Hold
لازم اقول سبب وانا بطلب من العميل انه ينتظر </t>
  </si>
  <si>
    <t>I understand your issue and if it’s alright with you, I’m going to ask you to hold on while I try to find the solution.”
Let me get right on it. If you don’t mind, I’ll get back to you once I resolve this</t>
  </si>
  <si>
    <t xml:space="preserve">رجاء الانتظار للمراجعة  وتنفيذ طلب حضرتك 
بيتم مراجعة البيانات / المعلومات لابلاغ حضرتك </t>
  </si>
  <si>
    <t>I’ll get back to you - is it ok to put you on hold?</t>
  </si>
  <si>
    <t xml:space="preserve">لحظات يافندم
ممكن تنتنظر معايا 
ثواني </t>
  </si>
  <si>
    <t>Problem Solving
مش بقول للعميل ان لايوجد حل للمشكلة</t>
  </si>
  <si>
    <t>I’m really sorry to hear about this. I wish we could solve this problem for you. Maybe you could try…
I understand how this must have upset you, and I’ll get on it immediately.
I’m sorry to hear about your frustration. Let me help you with this right away.</t>
  </si>
  <si>
    <t>بنعتذرلك جدا عن التجربة دي يافندم وتأكد ان الحل هو  ...
 - انا قدمت لحضرتك شكوي وهنراجع وهنتواصل بيك .....</t>
  </si>
  <si>
    <t>There’s nothing we can do</t>
  </si>
  <si>
    <t xml:space="preserve">مافيش حاجة نعملها لحضرتك </t>
  </si>
  <si>
    <t xml:space="preserve">Miss understanding </t>
  </si>
  <si>
    <t>Let me explain
I will explain more to you Mr.,,,,,, / Ms.……</t>
  </si>
  <si>
    <t xml:space="preserve">هوضح لحضرتك كل التفاصيل…
اللي انا اقصده يااستاذ ... هو ...... </t>
  </si>
  <si>
    <t>Listen to me</t>
  </si>
  <si>
    <t>اسمعني يافندم 
يا فندم اقرا صح اللى كتبته لحضرتك من فضلك
زي مانا وضحت لحضرتك و الموظف اللي قبلي وضحلك</t>
  </si>
  <si>
    <t xml:space="preserve">no problem found &amp; repeating same questions </t>
  </si>
  <si>
    <t>I can't help you.</t>
  </si>
  <si>
    <t>مش هقدر اساعدك</t>
  </si>
  <si>
    <t xml:space="preserve">بنعتذرلك جدا يافندم وتاكد لو في خطأ من خلالنا هنقدم لحضرتك شكوي لكن دي طريقة محاسبة ولايوجد خطأ محاسبي وتاكد اننا موجودين هنا لمساعدتك </t>
  </si>
  <si>
    <t>لا و مش متاح يافندم تقديم شكوى لان مفيش مشكله على الخط</t>
  </si>
  <si>
    <t xml:space="preserve">تاكد لو في خطأ من خلالنا هنقدم لحضرتك شكوي لكن دي طريقة محاسبة ولايوجد خطأ محاسبي وتاكد اننا موجودين هنا لمساعدتك </t>
  </si>
  <si>
    <t xml:space="preserve"> زى ما وضحتلك مفيش مشكله على الخط لتقديم شكوى</t>
  </si>
  <si>
    <t xml:space="preserve">دا الموضح على الخط يافندم - وضحت لحضرتك اللى تم على الخط </t>
  </si>
  <si>
    <t>مفيش اى مشكلة واضحة من خلالى الاشتراك تم من خلال العميل فميش امكانية بالتعويض</t>
  </si>
  <si>
    <t>مفييش مشكله على الخط . لان انا الى بحدد لان انا الى امامى السيستم</t>
  </si>
  <si>
    <t>هوضح لحضرتك بالنسبة لـــ.....</t>
  </si>
  <si>
    <t>تم توضيح المعلومه | حابب اوضحلك مره اخري؟</t>
  </si>
  <si>
    <t xml:space="preserve">ممكن تقرا كلامك </t>
  </si>
  <si>
    <t xml:space="preserve">ممكن تقرا كلامي يافندم </t>
  </si>
  <si>
    <t>دورنا اننا نساعد حضرتك ورجاء توضيح لو في اى شىء مش واضح؟</t>
  </si>
  <si>
    <t xml:space="preserve">تم توضحيها في الشات برجاء مراجعه الشات </t>
  </si>
  <si>
    <t xml:space="preserve">Attitude </t>
  </si>
  <si>
    <t>I am here to help you. I apologize if you don’t feel that.</t>
  </si>
  <si>
    <t>انا دوري ان اساعد حضرتك وبعتذرلك لو وصلك عكس ذلك</t>
  </si>
  <si>
    <t>حضرتك عايز تقدم شكوي فيا يعني ؟</t>
  </si>
  <si>
    <t xml:space="preserve">Angry </t>
  </si>
  <si>
    <t>I understand how this must have upset you, and I’ll get on it immediately.
I’m sorry to hear about your frustration. Let me help you with this right away.</t>
  </si>
  <si>
    <t xml:space="preserve">بعتذرلك يافندم ان وصل لحضرتك شعور اني مش حابب اساعدك بس انا بقوم بتنفيذ الاجراءات وتاكد ان دورنا هو مساعدة حضرتك
إحنا هنا لمساعدتك و يهمنا الرد عليك
إحنا مقدرين استيائك وبنعتذرلك عن أي مشكلة واجهتك
بنأكد إن يهمنا مساعدتك وإرضائك
بنعتذرلك عن تجربتك 
ممكن تقبل إعتذارنا عن تجربتك، وتأكد إنه هيتم حل الأمر
بنعتذرلك يافندم جدا وتاكد اننا بنبذل اقصي جهد علشان المشكلة تتحل بسرعة
</t>
  </si>
  <si>
    <t>I already explained, Any other question?</t>
  </si>
  <si>
    <t>انا وضحت الاجراء | اي مساعده تانيه ؟</t>
  </si>
  <si>
    <t>Verification</t>
  </si>
  <si>
    <t>حضرتك يافندم ده سؤال بيتم طرحه علي حضرتك ورجاء الاجابة عليه  لضمان التاكد من ان صاحب الخط هو من يتصرف فيه فقط بناء علي معرفة البيانات المطلوبة</t>
  </si>
  <si>
    <t>انا عارف شغلى يافندم  |وانا بوضحلك انى عايز بياناتك عشان اراجع على الخط</t>
  </si>
  <si>
    <r>
      <t xml:space="preserve">Waiting complaint feedback
</t>
    </r>
    <r>
      <rPr>
        <sz val="10"/>
        <color rgb="FFC00000"/>
        <rFont val="Helvetica 55 Roman"/>
        <family val="2"/>
      </rPr>
      <t>(Sending Escalation Mail)</t>
    </r>
  </si>
  <si>
    <t>I understand how this must have upset you, I have sent an escalation to you. So you will be contacted sooner</t>
  </si>
  <si>
    <t xml:space="preserve">إحنا مقدرين استيائك و بنعتذرلك عن أي مشكلة واجهتك.
حالياً بنراجع و هنتابعك في أسرع وقت ممكن.
بنعتذرلك عن أي تأخير تم, حالياً بنراجع و هيتم المتابعة في أسرع وقت ممكن.
تأكد إن يهمنا حل المشكلة في أسرع وقت ممكن و حالياً بنراجع على حلها و هيتم المتابعة.
إحنا حالياً بنراجع الشكوى و هنرد عليك في أقرب وقت ممكن .
</t>
  </si>
  <si>
    <t xml:space="preserve">اصلا الشكوي لسه مفتوحة
</t>
  </si>
  <si>
    <t>Cannot Make Calls
Fault For Product</t>
  </si>
  <si>
    <t>ممكن توضيح هل في رسالة معينة بتظهر على شاشة التليفون أو بنسمعها لما بنحاول نعمل مكالمة؟ ولو في، برجاء توضيحها.
- هل المشكلة دي بتحصل مع كل الأرقام ولا رقم معين؟
- نستأذنك نقفل إتصال البيانات وندخل على الضبط وبعدين ضبط الشبكة وبعدين نختار الشبكة يدوي، هيظهر الشبكات المتاحة، ممكن نختار أي شبكة غير اورنچ والتليفون هيرفضها، نرجع نختار شبكة اورنچ ونقفل التليفون ونفتحه، ونجرب إجراء مكالمة.
- لو إستمرت المشكلة، هنحتاج نجرب الشريحة في تليفون تاني.</t>
  </si>
  <si>
    <t>Cannot Receive Calls</t>
  </si>
  <si>
    <t>ممكن توضيح هل علامة الشبكة ظاهرة على التليفون كاملة؟
- المشكلة في إستقبال المكالمات من شبكة معينة ولا من أي حد؟
- المشكلة بتحصل مع رقم دولي أو أرقام قصيرة؟ ولا بتحصل مع كل الأرقام؟
- ممكن توضيح الرقم المسلسل للشريحة؟
- استأذنك نجرب نلغي كل تحويلات المكالمات عن طريق الكود #002##
- ممكن توضحلنا رسالة الخطأ إللي بيسمعها الشخص إللي بيكلمك؟</t>
  </si>
  <si>
    <t>Cannot Make or Receive Calls</t>
  </si>
  <si>
    <t xml:space="preserve">تقدر تعرف منه الرقم المسلسل #119# </t>
  </si>
  <si>
    <r>
      <t xml:space="preserve">Credit inquiries
Balance inquiry
</t>
    </r>
    <r>
      <rPr>
        <sz val="10"/>
        <color theme="1"/>
        <rFont val="Helvetica 55 Roman"/>
        <family val="2"/>
      </rPr>
      <t>Prepaid/Hybrid/Business C&amp;C</t>
    </r>
  </si>
  <si>
    <r>
      <t xml:space="preserve">Lost Credit
</t>
    </r>
    <r>
      <rPr>
        <b/>
        <sz val="10"/>
        <color rgb="FFC00000"/>
        <rFont val="Helvetica 55 Roman"/>
        <family val="2"/>
      </rPr>
      <t xml:space="preserve">Rasseny
My Orange – Prepaid E-bill
</t>
    </r>
    <r>
      <rPr>
        <sz val="10"/>
        <color rgb="FFC00000"/>
        <rFont val="Helvetica 55 Roman"/>
        <family val="2"/>
      </rPr>
      <t>Prepaid
Business Prepaid dials are eligible to use the service.</t>
    </r>
  </si>
  <si>
    <t>في أي وقت، نقدر نعرف الرصيد إتخصم في إيه عن طريق رسيني من خلال الكود #13# مجاناً أول مرة في اليوم، وأي رسالة إضافية بـ 10 قروش، وهتوصلك رسالة بتقرير يوضح رصيدك وإستهلاكك والإشتراكات إللي إتخصمت في أخر 24 ساعة (هنقدر نستخدمها بعد ساعة من عملية الشحن).
وكمان نقدر نستخدم خدمة رسيني على تطبيق My Orange مجاناً أي عدد من المرات خلال اليوم.
الخدمة متاحة لأنظمة الكارت فقط.
وبنقدر نعرف تفاصيل الإستهلاك أخر 30 يوم من خلال تطبيق My Orange
https://myo.orange.eg/my-consumption</t>
  </si>
  <si>
    <r>
      <t xml:space="preserve">Lost Credit
</t>
    </r>
    <r>
      <rPr>
        <b/>
        <sz val="10"/>
        <color rgb="FFC00000"/>
        <rFont val="Helvetica 55 Roman"/>
        <family val="2"/>
      </rPr>
      <t xml:space="preserve">My Orange – Prepaid E-bill
</t>
    </r>
    <r>
      <rPr>
        <sz val="10"/>
        <color rgb="FFC00000"/>
        <rFont val="Helvetica 55 Roman"/>
        <family val="2"/>
      </rPr>
      <t>Hybrid</t>
    </r>
  </si>
  <si>
    <t>في أي وقت، نقدر نعرف تفاصيل الإستهلاك أخر 30 يوم ونراجع الرصيد والأرقام إللي كلمناها من خلال تطبيق My Orange مجاناً ومش بيستهلك من الإنترنت إلا عند تحميل التطبيق أو التوجه لصفحات خارج التطبيق ... وده أسهل وكمان بيحافظ على سرية الخط.
وبنقدر نعرف تفاصيل الإستهلاك أخر 30 يوم من خلال تطبيق My Orange
https://myo.orange.eg/my-consumption</t>
  </si>
  <si>
    <t>Lost Credit</t>
  </si>
  <si>
    <t>Department</t>
  </si>
  <si>
    <t>Template</t>
  </si>
  <si>
    <t>Script</t>
  </si>
  <si>
    <t>Escalation</t>
  </si>
  <si>
    <t>All social media complaints (SR’s sent to back office teams) should be handled till the last 30 minutes of Department’s shifts.</t>
  </si>
  <si>
    <t>Social Media Data Connection</t>
  </si>
  <si>
    <t>DBO will contact the customer within 15 mins.</t>
  </si>
  <si>
    <t>NA</t>
  </si>
  <si>
    <t>Notes</t>
  </si>
  <si>
    <t>language</t>
  </si>
  <si>
    <t>حضرتك تقدر اللغة الخاصة بالخدمة الصوتية عن طريق انك تكلم 400</t>
  </si>
  <si>
    <r>
      <t xml:space="preserve">Data Troubleshooting
</t>
    </r>
    <r>
      <rPr>
        <b/>
        <sz val="10"/>
        <color rgb="FFC00000"/>
        <rFont val="Helvetica 55 Roman"/>
        <family val="2"/>
      </rPr>
      <t>Android TRB</t>
    </r>
    <r>
      <rPr>
        <b/>
        <sz val="10"/>
        <color theme="1"/>
        <rFont val="Helvetica 55 Roman"/>
        <family val="2"/>
      </rPr>
      <t xml:space="preserve">
Slow Connection &amp; Instability
</t>
    </r>
    <r>
      <rPr>
        <sz val="10"/>
        <color rgb="FFC00000"/>
        <rFont val="Helvetica 55 Roman"/>
        <family val="2"/>
      </rPr>
      <t>Please press on Sync PCRF following below steps:
Charging Details &gt;&gt; Buckets Balance &gt;&gt; Sync PCRF</t>
    </r>
  </si>
  <si>
    <r>
      <t xml:space="preserve">نوع جهازك </t>
    </r>
    <r>
      <rPr>
        <b/>
        <sz val="10"/>
        <color rgb="FFC00000"/>
        <rFont val="Helvetica 55 Roman"/>
        <family val="2"/>
      </rPr>
      <t>XXXX</t>
    </r>
    <r>
      <rPr>
        <sz val="10"/>
        <color theme="1"/>
        <rFont val="Helvetica 55 Roman"/>
        <family val="2"/>
      </rPr>
      <t xml:space="preserve">
هل المشكلة دي بخصوص إستخدام الإنترنت بشكل عام؟ ولا في التصفح فقط أو التحميل فقط أو على تطبيق محدد؟ أو بيواجهنا بطء في إستخدام متصفح الجهاز الإفتراضي؟
وممكن نمشي على الخطوات دي:
 1- التأكد إن نمط الشبكة المستخدم WCDMA فقط أو 3G فقط (لو متاح) أو الوضح لو مش متاحة ممكن نختار أي نمط مفضل، وبعد كده الرجوع لنمط 3G&amp;4G.
2- مسح الملفات المؤقتة بالكامل (من إعدادات - فتح إعدادات المتصفح - ثم الخصوصية والأمن - ثم مسح ذاكرة التخزين المؤقت وملفات تعريف الإرتباط)
ولو الجهاز بشريحتين نجرب الخطوات دي بردو:
1- نتأكد شريحة اورنچ مكان رقم 1 (ولو eSIM فا ده مش شرط)
2- ندخل على ضبط بطاقة SIM - شبكة خدمة البيانات - نغيرها نخليها شريحة اورنچ رقم 1
ولو الشريحة 3G، ممكن نستبدلها من أقرب فرع بشريحة USIM 4G، وده ممكن يساعد في حل المشكلة، ولفترة محدودة ممكن نكسب لحد 10 جيجابايتس هدية صالحة لمدة إسبوع.
لخطوط الأفراد، ممكن صاحب الخط المسجل بإسمه الخط يتوجه لأقرب فرع بالبطاقة الشخصية وبيتم إستبدال الشريحة مجاناً.
ممكن نعرف أقرب فرع والمواعيد من هنا
https://backend.orange.eg/deeplinkredirect.html?screen=findstore</t>
    </r>
  </si>
  <si>
    <r>
      <t xml:space="preserve">Data Troubleshooting
</t>
    </r>
    <r>
      <rPr>
        <b/>
        <sz val="10"/>
        <color rgb="FFC00000"/>
        <rFont val="Helvetica 55 Roman"/>
        <family val="2"/>
      </rPr>
      <t>iPhone IOS TRB</t>
    </r>
    <r>
      <rPr>
        <b/>
        <sz val="10"/>
        <color theme="1"/>
        <rFont val="Helvetica 55 Roman"/>
        <family val="2"/>
      </rPr>
      <t xml:space="preserve">
Connect Connect/Slow Connection &amp; Instability
</t>
    </r>
    <r>
      <rPr>
        <sz val="10"/>
        <color rgb="FFC00000"/>
        <rFont val="Helvetica 55 Roman"/>
        <family val="2"/>
      </rPr>
      <t>Please press on Sync PCRF following below steps:
Charging Details &gt;&gt; Buckets Balance &gt;&gt; Sync PCRF</t>
    </r>
  </si>
  <si>
    <t>نوع جهازك iPhone
ممكن نمشي على الخطوات دي:
1- الإعدادات
2- عام
3- إعادة تعيين
4- إعادة تعيين الشبكة
وبعد كده هنحتاج نتأكد من:
1- قفل الإتصال اللاسلكي/الواي فاي
2- تشغيل البيانات الخلوية
3- خيارات البيانات الخلوية
4- الصوت والبيانات 4G
لو المشكلة لسه موجودة، ممكن تحديث نظام التشغيل الخاص بالجهاز (لو متاح).
ولو الشريحة 3G، ممكن نستبدلها من أقرب فرع بشريحة USIM 4G، وده ممكن يساعد في حل المشكلة، ولفترة محدودة ممكن نكسب لحد 10 جيجابايتس هدية صالحة لمدة إسبوع.
لخطوط الأفراد، ممكن صاحب الخط المسجل بإسمه الخط يتوجه لأقرب فرع بالبطاقة الشخصية وبيتم إستبدال الشريحة مجاناً.
ممكن نعرف أقرب فرع والمواعيد من هنا
https://backend.orange.eg/deeplinkredirect.html?screen=findstore</t>
  </si>
  <si>
    <t>Data Troubleshooting</t>
  </si>
  <si>
    <t xml:space="preserve">بتعمل شكوى برقم 1353 و بترنها باك اوفس 8W ة بتروح تبعت الميل ده يا معلم متنساش تحط الميل في النوت </t>
  </si>
  <si>
    <t>للمتابعة اضغط 1 للمتابعة اضغط * للاعدادات و المتابعة اضغط 4 لتغير اللغة اضغط 1</t>
  </si>
  <si>
    <t>للمتابعة اضغط 1 للمتابعة اضغط * للاعدادات و المتابعة اضغط 4 لمعرفة ال puk اضغط 2</t>
  </si>
  <si>
    <t>Menu</t>
  </si>
  <si>
    <t>PUK</t>
  </si>
  <si>
    <t>Replies</t>
  </si>
  <si>
    <t>Recharging Fees</t>
  </si>
  <si>
    <t>Main credit</t>
  </si>
  <si>
    <t xml:space="preserve">Amount After Adding New State Development Fees </t>
  </si>
  <si>
    <t>Amount + VAT 14%</t>
  </si>
  <si>
    <t>VAT 14%</t>
  </si>
  <si>
    <t>Amount + VAT 8%</t>
  </si>
  <si>
    <t>VAT 8%</t>
  </si>
  <si>
    <t>Amount</t>
  </si>
  <si>
    <t>تم اضافة التعويض يا فندم تحب اساعد حضرتك ب اي استفسار تاني ؟</t>
  </si>
  <si>
    <t>بنعتذر جدا بس العملية حضرتك عملتها من نصف ساعة و العملية بتكون واضحه م خلانا في خلال ساعة على قاعدة البيانت محتاج من حضرتك تكلمنا مرة فيي خلال الساعات الجاية تكون وضحت العملية عشان نقدر نوضحها </t>
  </si>
  <si>
    <t>balance sys</t>
  </si>
  <si>
    <t xml:space="preserve">واضح امامي ان عرض الضعف بالفعل متضاف لحضرتك </t>
  </si>
  <si>
    <t xml:space="preserve">حضرتك بتفتح تطبيق ماي اورانج 
في خانة الرصيد الحالي في تلت نقط جمب كلمة اشحن اضغط عليها و هيظهر تلت اختيارات اختار تفاصيل استهلاك الرصيد بعد كده اضغط على قايمة تفاصيل 
من اختار نوع الاستهلاك اختار مكالمات و اضغط على تاريخ اليوم و هيظهر لحضرتك </t>
  </si>
  <si>
    <t>عرض الضعف بينزل منفصل بمعنى ان مش بيكون موضح على اجمالي الباقة بيكون واضح في التفاصيل من خلال الابليكشن</t>
  </si>
  <si>
    <t>Reserved Quota
(Chunk Quota)</t>
  </si>
  <si>
    <t>دي الطريقة المتبعة لحساب إستخدام الإنترنت. بمجرد ما بندخل على موقع، بيتم حجز عدد من الميجابيتس لغاية ما بتخلص. أول ما بتخلص، بيتم خصم فقط الميجابيتس إللي تم إستخدامتها وبيرجعلك الباقي. وعشان نقدر نستخدم الإنترنت مرة تانية ونستفيد من باقي الميجابيتس المحجوزة لازم نقفل جميع المواقع إللي تم تصفحها وده بيكون من خلال إيقاف الجهاز وإعادة تشغيله تاني أو تشغيل وضع الطائرة (flight mode or the airplane mode) ثم إيقافه مره تانية. وده معناه إن مفيش أي ميجابيتس بتروح.
علي سبيل المثال لو فتحنا فيسبوك ويوتيوب، كل موقع بيحجز عدد ميجابيتس خاصه بيه فلو عدد الميجابيتس المحتجزة تجأوز عدد الميجابيتس المتبقية في الباقه بيتم محاسبتك خارج الباقه، بس لو قفلنا المواقع المفتوحه عن طريق إيقاف الجهاز وإعادة تشغيله تاني أو تشغيل وضع الطائرة (flight mode or the airplane mode) ثم إيقافه مره اخري، بيتم خصم الميجابيتس المستخدمة فعليا فقط ورجوع المجابيتس المحتجزه للباقه مره اخري وبالتالي محاسبة إستخدامك من خلال الباقة الخاصه بك مره اخري.
وبشكل عام للتحكم ومتابعة إستهلاك الإنترنت؛ ممكن نستخدم آبلكيشن اورنچ، وإستخدام التطبيق مجاناً، أو من خلال #100#.
https://myo.orange.eg/DB</t>
  </si>
  <si>
    <t>http://orangepedia/Promotions/Pages/Sha7net-El-Sa3d.aspx</t>
  </si>
  <si>
    <t>عرض شحنه السعد خلص.
ودلوقتي نقدر نكلم #012# أو من آبلكيشن اورنج ونستعد لعروض أقوى خلال شهر رمضان 📿🌙</t>
  </si>
  <si>
    <t>واضح ان القسم المختص ما زال بيراجع الطلب الخاص بحضرتك يا فندم</t>
  </si>
  <si>
    <t>هيتم التواصل مع حضرتك مرة تانية في حال ان الشكوى ما زالت بتتراجع</t>
  </si>
  <si>
    <r>
      <t xml:space="preserve">Cannot Reach 110/250...etc.
</t>
    </r>
    <r>
      <rPr>
        <b/>
        <sz val="10"/>
        <color rgb="FFC00000"/>
        <rFont val="Helvetica 55 Roman"/>
        <family val="2"/>
      </rPr>
      <t>Private</t>
    </r>
    <r>
      <rPr>
        <b/>
        <sz val="10"/>
        <color theme="1"/>
        <rFont val="Helvetica 55 Roman"/>
        <family val="2"/>
      </rPr>
      <t xml:space="preserve">
</t>
    </r>
    <r>
      <rPr>
        <sz val="10"/>
        <color theme="1"/>
        <rFont val="Helvetica 55 Roman"/>
        <family val="2"/>
      </rPr>
      <t>Don’t send e-mail to management anymore.</t>
    </r>
  </si>
  <si>
    <t>تم تحديث الخدمة الصوتية وإضافة كل المعلومات إللي محتاجينها وإتاحة التحكم في الخدمات بسهولة عن طريق تطبيق آبلكيشن اورنچ والأكواد #100# والخدمة الصوتية 400، وكمان موقعنا www.orange.eg عشان يتم التحكم في الخط بنفسك في أي وقت بكل سهولة.
ولو في إستفسار، ممكن توضيحه هنا لمساعدتك.</t>
  </si>
  <si>
    <r>
      <t xml:space="preserve">Customer Service IVR
Social Media
</t>
    </r>
    <r>
      <rPr>
        <b/>
        <sz val="10"/>
        <color rgb="FFC00000"/>
        <rFont val="Helvetica 55 Roman"/>
        <family val="2"/>
      </rPr>
      <t xml:space="preserve">110 </t>
    </r>
    <r>
      <rPr>
        <b/>
        <sz val="10"/>
        <color theme="1"/>
        <rFont val="Helvetica 55 Roman"/>
        <family val="2"/>
      </rPr>
      <t>-</t>
    </r>
    <r>
      <rPr>
        <b/>
        <sz val="10"/>
        <color rgb="FFC00000"/>
        <rFont val="Helvetica 55 Roman"/>
        <family val="2"/>
      </rPr>
      <t xml:space="preserve"> 250 </t>
    </r>
    <r>
      <rPr>
        <b/>
        <sz val="10"/>
        <color theme="1"/>
        <rFont val="Helvetica 55 Roman"/>
        <family val="2"/>
      </rPr>
      <t xml:space="preserve">- </t>
    </r>
    <r>
      <rPr>
        <b/>
        <sz val="10"/>
        <color rgb="FFC00000"/>
        <rFont val="Helvetica 55 Roman"/>
        <family val="2"/>
      </rPr>
      <t xml:space="preserve">16333 </t>
    </r>
    <r>
      <rPr>
        <b/>
        <sz val="10"/>
        <color theme="1"/>
        <rFont val="Helvetica 55 Roman"/>
        <family val="2"/>
      </rPr>
      <t>-</t>
    </r>
    <r>
      <rPr>
        <b/>
        <sz val="10"/>
        <color rgb="FFC00000"/>
        <rFont val="Helvetica 55 Roman"/>
        <family val="2"/>
      </rPr>
      <t xml:space="preserve"> 7770</t>
    </r>
    <r>
      <rPr>
        <b/>
        <sz val="10"/>
        <color theme="1"/>
        <rFont val="Helvetica 55 Roman"/>
        <family val="2"/>
      </rPr>
      <t xml:space="preserve">
</t>
    </r>
    <r>
      <rPr>
        <b/>
        <sz val="10"/>
        <color rgb="FFC00000"/>
        <rFont val="Helvetica 55 Roman"/>
        <family val="2"/>
      </rPr>
      <t xml:space="preserve">Private &amp; Public
</t>
    </r>
    <r>
      <rPr>
        <sz val="10"/>
        <color theme="1"/>
        <rFont val="Helvetica 55 Roman"/>
        <family val="2"/>
      </rPr>
      <t>إيه هي أرقام خدمة العملاء؟ "بشكل عام</t>
    </r>
  </si>
  <si>
    <t>أرقام خدمة العملاء:
- لخطوط الأفراد: 110 من أي خط اورنچ (تكلفة المكالمة حسب النظام)، أو 16110 من أي خط تاني أو أرضي بسعر الدقيقة الأرضي.
- لخطوط الشركات: 250 من أي خط اورنچ بيزنس أو 16250 من أي خط تاني أو أرضي، ومواعيد العمل بتكون من 8 صباحاً للساعة 12 صباحاً يومياً.
- اورنچ كاش: 7770 مجاناً من أي رقم اورنچ فقط على مدار اليوم.
- اورنچ دي إٍس إل: 16333 من أي خط بسعر الدقيقة للرقم الأرضي.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</si>
  <si>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r>
      <t xml:space="preserve">Customer Service IVR
Social Media
</t>
    </r>
    <r>
      <rPr>
        <b/>
        <sz val="14"/>
        <color rgb="FFC00000"/>
        <rFont val="Helvetica 55 Roman"/>
        <family val="2"/>
      </rPr>
      <t>110</t>
    </r>
    <r>
      <rPr>
        <b/>
        <sz val="10"/>
        <color theme="1"/>
        <rFont val="Helvetica 55 Roman"/>
        <family val="2"/>
      </rPr>
      <t xml:space="preserve"> - 250 - 16333 - 7770
</t>
    </r>
    <r>
      <rPr>
        <sz val="10"/>
        <color rgb="FFC00000"/>
        <rFont val="Helvetica 55 Roman"/>
        <family val="2"/>
      </rPr>
      <t>Orange CC/Orange Personal</t>
    </r>
    <r>
      <rPr>
        <b/>
        <sz val="10"/>
        <color rgb="FFC00000"/>
        <rFont val="Helvetica 55 Roman"/>
        <family val="2"/>
      </rPr>
      <t/>
    </r>
  </si>
  <si>
    <t>رقم خدمة عملاء الأفراد: 110 من أي خط اورنچ (تكلفة المكالمة حسب النظام)، أو 16110 من أي خط تاني أو أرضي بسعر الدقيقة الأرضي.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</si>
  <si>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r>
      <t xml:space="preserve">Customer Service IVR
Social Media
110 - </t>
    </r>
    <r>
      <rPr>
        <b/>
        <sz val="14"/>
        <color rgb="FFC00000"/>
        <rFont val="Helvetica 55 Roman"/>
        <family val="2"/>
      </rPr>
      <t>250</t>
    </r>
    <r>
      <rPr>
        <b/>
        <sz val="10"/>
        <color theme="1"/>
        <rFont val="Helvetica 55 Roman"/>
        <family val="2"/>
      </rPr>
      <t xml:space="preserve"> - 16333 - 7770
</t>
    </r>
    <r>
      <rPr>
        <sz val="10"/>
        <color rgb="FFC00000"/>
        <rFont val="Helvetica 55 Roman"/>
        <family val="2"/>
      </rPr>
      <t>Orange Business</t>
    </r>
  </si>
  <si>
    <t>رقم خدمة عملاء الشركات: 250 من أي خط اورنچ بيزنس أو 16250 من أي خط تاني أو أرضي (من 8 ص لـ 12 ص).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</si>
  <si>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r>
      <t xml:space="preserve">Customer Service IVR
Social Media
110 - 250 - </t>
    </r>
    <r>
      <rPr>
        <b/>
        <sz val="14"/>
        <color rgb="FFC00000"/>
        <rFont val="Helvetica 55 Roman"/>
        <family val="2"/>
      </rPr>
      <t>16333</t>
    </r>
    <r>
      <rPr>
        <b/>
        <sz val="10"/>
        <color rgb="FFC00000"/>
        <rFont val="Helvetica 55 Roman"/>
        <family val="2"/>
      </rPr>
      <t xml:space="preserve"> </t>
    </r>
    <r>
      <rPr>
        <b/>
        <sz val="10"/>
        <color theme="1"/>
        <rFont val="Helvetica 55 Roman"/>
        <family val="2"/>
      </rPr>
      <t xml:space="preserve">- 7770
</t>
    </r>
    <r>
      <rPr>
        <sz val="10"/>
        <color rgb="FFC00000"/>
        <rFont val="Helvetica 55 Roman"/>
        <family val="2"/>
      </rPr>
      <t>Orange DSL</t>
    </r>
  </si>
  <si>
    <t>رقم خدمة عملاء اورنچ دي إٍس إل: 16333 من أي خط بسعر الدقيقة للرقم الأرضي.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</si>
  <si>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r>
      <t xml:space="preserve">Customer Service IVR
Social Media
110 - 250 - 16333 - </t>
    </r>
    <r>
      <rPr>
        <b/>
        <sz val="14"/>
        <color rgb="FFC00000"/>
        <rFont val="Helvetica 55 Roman"/>
        <family val="2"/>
      </rPr>
      <t xml:space="preserve">7770
</t>
    </r>
    <r>
      <rPr>
        <sz val="10"/>
        <color rgb="FFC00000"/>
        <rFont val="Helvetica 55 Roman"/>
        <family val="2"/>
      </rPr>
      <t>Orange Cash</t>
    </r>
  </si>
  <si>
    <t>رقم خدمة عملاء اورنچ كاش: 7770 من أي خط اورنچ على مدار اليوم.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</si>
  <si>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r>
      <t xml:space="preserve">Customer Service IVR
Social Media
110 - 250 - 16333 - </t>
    </r>
    <r>
      <rPr>
        <b/>
        <sz val="14"/>
        <color rgb="FFC00000"/>
        <rFont val="Helvetica 55 Roman"/>
        <family val="2"/>
      </rPr>
      <t xml:space="preserve">7770
</t>
    </r>
    <r>
      <rPr>
        <sz val="10"/>
        <color rgb="FFC00000"/>
        <rFont val="Helvetica 55 Roman"/>
        <family val="2"/>
      </rPr>
      <t>Non Orange Customer wants to call Orange Cash Call Center</t>
    </r>
  </si>
  <si>
    <t>بنقدر نتواصل مع خدمة عملاء اورنچ كاش على رقم 7770 مجاناً من أي رقم اورنچ فقط على مدار الـ 24 ساعة.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</si>
  <si>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t>شكوى</t>
  </si>
  <si>
    <t>عشان الوحدات نقدر نستخدمهم دقايق و نت ومفيش امكانية نتحكم فيهم</t>
  </si>
  <si>
    <t>و تقدر تعرف استهلاك باقة النت من كود #136#</t>
  </si>
  <si>
    <t>Roaming</t>
  </si>
  <si>
    <t>حضرتك مسافر فين يا فندم و هل فيه ترانزيت ولا لا ؟</t>
  </si>
  <si>
    <t xml:space="preserve">freeze UR line </t>
  </si>
  <si>
    <t>app compansation</t>
  </si>
  <si>
    <t>بنعتذر لحضرتك جدا بخصوص اي شئ مضايق حضرتك ارضاءا لحضرتك يا فندم هيتم تعويض حضرتك ب 500 ميجا صالحين لاخر اليوم و بعتذر جدا بخصوص اي شئ ضايق حضرتك وارد يكون مشكلة فنيه يا فندم من جانب الموظف</t>
  </si>
  <si>
    <t>تعويض بخصوص اي ؟</t>
  </si>
  <si>
    <t>ممكن الاسم رباعي و الرقم القومي و في حالة انه متسجل باسم حضرتك هوضح لحضرتك في حالة انه غير مسجل هوضح انه مش مسجل ببيانات حضرتك ؟</t>
  </si>
  <si>
    <t>عليكم السلام و رحمة الله و بركاته اتفضل يا فندم</t>
  </si>
  <si>
    <t xml:space="preserve">واضح امامي ان بيتم استخدام باقة GO الاساسية ثم استخدام عرض الضعف من GO </t>
  </si>
  <si>
    <t>هل حضرتك اشتركت في العرض ؟</t>
  </si>
  <si>
    <t>حضرتك تقدر تنتظر لاخر اليوم لو عرض الضعف برضو منزلش لحضرتك اتواصل معانا مرة اخرى و هنساعد حضرتك</t>
  </si>
  <si>
    <t>انا من خلالي واضح على قاعدة بينات اورانج انه متسجل باسم حضرتك</t>
  </si>
  <si>
    <t>تابع مع الشركة الاخري اللي حضرتك حولت ليها</t>
  </si>
  <si>
    <t>Port out</t>
  </si>
  <si>
    <t>Target</t>
  </si>
  <si>
    <t>أنا متفهم جدًا إن حضرتك متضايق، وحقك علينا لو حصل أي حاجة خلتك توصل للإحساس ده.وجودك معانا مهم جدًا بالنسبة لنا، ومش حابين نخسرك بأي شكل.</t>
  </si>
  <si>
    <t>حضرتك تقدر تعرف هل عندك محافظ بنكية او لا عن طريق لينك "ميزة" من جوجل او تطبيق ماي نترا NTRA</t>
  </si>
  <si>
    <t>واضح امامي الرسالة دي وصلت لحضرتك امبارح و كان صلاحيتهالمدة يوم فقط</t>
  </si>
  <si>
    <t xml:space="preserve">حابب اوضح لحضرتك ان التعويض بيكون ليه الاولوية في الاستخدام حتى في وجود اي باقات او عروض </t>
  </si>
  <si>
    <t>target</t>
  </si>
  <si>
    <t>max</t>
  </si>
  <si>
    <t>http://orangepedia/Products/Services/Pages/Social-Media-handling-through-CC.aspx</t>
  </si>
  <si>
    <t>Social Media handling through CC</t>
  </si>
  <si>
    <t xml:space="preserve">حابب اوضح ان من خلالي معايا كافة الصلاحيات اللي اساعدك بيها و اللي المدير هيوضحها فا ممكن توضحلي اساعدك ازاي </t>
  </si>
  <si>
    <t>خدمة تحويل المكالمات لرقم تاني، دي خدمة مجانية نقدر من خلالها نختار الحالة إللي تناسبنا:
- في حالة مشغول، للتفعيل بنكلم #الرقم*67** وللإلغاء #67##
- في حالة عدم الرد، للتفعيل بنكلم #الرقم*61** وللإلغاء #61##
- في حالة غير متاح، للتفعيل بنكلم #الرقم*62** وللإلغاء #62##
- في حالة مشغول + عدم الرد + غير متاح، للتفعيل بنكلم #الرقم*004** وللإلغاء #004##
- في حالة جميع المكالمات الصوتية المستلمة، للتفعيل بنكلم #الرقم*21** وللإلغاء #21##
وبنتحاسب بنفس سعر دقيقة النظام.
https://www.orange.eg/ar/services/call-management</t>
  </si>
  <si>
    <t>Call Forward</t>
  </si>
  <si>
    <r>
      <t xml:space="preserve">SMS Troubleshooting
</t>
    </r>
    <r>
      <rPr>
        <b/>
        <sz val="10"/>
        <color rgb="FFC00000"/>
        <rFont val="Helvetica 55 Roman"/>
        <family val="2"/>
      </rPr>
      <t>Step 1</t>
    </r>
  </si>
  <si>
    <t>هنحتاج بس نتأكد من شوية خطوات جوه ضبط الرسائل في تليفونك:
• رقم مركز الرسائل: 00201222000020
• مركز الرسائل المستخدم: مركز رسائل SIM
• تقارير التسليم: نعم
• صلاحية الرسائل: اقصي مدة
• سترسل الرسالة على شكل: نص
• الإتصال المفضل: GSM
• الرد بواسطة نفس المركز: لا
• ترميز الحروف: دعم كامل
• إستخدام حزم البيانات: لا
• المستلم الإفتراضي: غير معرف
• ولو إستمرت المشكلة، ممكن نجرب الشريحة في تليفون تاني.
مع العلم إن بعض الخطوات مش موجودة في كل التليفونات، وده على حسب نوع التليفون.</t>
  </si>
  <si>
    <r>
      <t xml:space="preserve">SMS Troubleshooting
</t>
    </r>
    <r>
      <rPr>
        <sz val="10"/>
        <color rgb="FFC00000"/>
        <rFont val="Helvetica 55 Roman"/>
        <family val="2"/>
      </rPr>
      <t>IOS</t>
    </r>
    <r>
      <rPr>
        <b/>
        <sz val="10"/>
        <color rgb="FFC00000"/>
        <rFont val="Helvetica 55 Roman"/>
        <family val="2"/>
      </rPr>
      <t xml:space="preserve"> </t>
    </r>
    <r>
      <rPr>
        <sz val="10"/>
        <color rgb="FFC00000"/>
        <rFont val="Helvetica 55 Roman"/>
        <family val="2"/>
      </rPr>
      <t xml:space="preserve">iPhone
</t>
    </r>
    <r>
      <rPr>
        <b/>
        <sz val="10"/>
        <color rgb="FFC00000"/>
        <rFont val="Helvetica 55 Roman"/>
        <family val="2"/>
      </rPr>
      <t>Step 1</t>
    </r>
  </si>
  <si>
    <t xml:space="preserve">ممكن نجرب الخطوات دي:
نتصل بالكود ده:
Code: *5005*7672*+201222000020# 
وبعدين نتصل بالكود ده:
Code: *#5005*7672# </t>
  </si>
  <si>
    <r>
      <t>SMS Troubleshooting</t>
    </r>
    <r>
      <rPr>
        <sz val="10"/>
        <color rgb="FFC00000"/>
        <rFont val="Helvetica 55 Roman"/>
        <family val="2"/>
      </rPr>
      <t xml:space="preserve">
</t>
    </r>
    <r>
      <rPr>
        <b/>
        <sz val="10"/>
        <color rgb="FFC00000"/>
        <rFont val="Helvetica 55 Roman"/>
        <family val="2"/>
      </rPr>
      <t xml:space="preserve">Step 2
</t>
    </r>
    <r>
      <rPr>
        <sz val="10"/>
        <color theme="1"/>
        <rFont val="Helvetica 55 Roman"/>
        <family val="2"/>
      </rPr>
      <t>• Please send WSMS after troubleshooting based on customer’s device. 
• We should ask the customer if s/he received the WSMS or not and state the feedback in SR’s note.
++
Assign it to the related BO team if needed/if still facing same issue.</t>
    </r>
  </si>
  <si>
    <t>ممكن توضيح هل تم إستقبال رسالة من اورنچ بالخطوات التنشيطية لخدمة الرسائل؟</t>
  </si>
  <si>
    <t>تقدر تعرف من التطبيق من خلال خانة وحدات و دقائق اضغط ادارة و هيظهر التفاصيل </t>
  </si>
  <si>
    <r>
      <t xml:space="preserve">Network Troubleshooting
</t>
    </r>
    <r>
      <rPr>
        <b/>
        <sz val="10"/>
        <color rgb="FFC00000"/>
        <rFont val="Helvetica 55 Roman"/>
        <family val="2"/>
      </rPr>
      <t>Bad Quality 1st Step</t>
    </r>
  </si>
  <si>
    <t>هل المشكلة بتواجهنا لما بنستخدم مكبر الصوت ولا سماعة الرأس؟
وممكن نجرب الخطوات التالية:
1- ندخل على الضبط وبعدين ضبط الشبكة وبعدين نختار الشبكة يدوى هيظهر الشبكات المتاحة نختار أي شبكة غير اورنچ التليفون هيرفضها نرجع نختار شبكة اورنچ ونقفل التليفون ونفتحه.
2- لو إستمرت المشكلة، هنحتاج نجرب الشريحة في تليفون تاني (ولو الخط eSIM مانعملش الخطوة دي).</t>
  </si>
  <si>
    <r>
      <t xml:space="preserve">Network Troubleshooting
</t>
    </r>
    <r>
      <rPr>
        <b/>
        <sz val="10"/>
        <color rgb="FFC00000"/>
        <rFont val="Helvetica 55 Roman"/>
        <family val="2"/>
      </rPr>
      <t>Bad Quality 2nd Step</t>
    </r>
    <r>
      <rPr>
        <sz val="10"/>
        <color theme="1"/>
        <rFont val="Helvetica 55 Roman"/>
        <family val="2"/>
      </rPr>
      <t xml:space="preserve">
</t>
    </r>
    <r>
      <rPr>
        <b/>
        <sz val="10"/>
        <color theme="1"/>
        <rFont val="Helvetica 55 Roman"/>
        <family val="2"/>
      </rPr>
      <t>SR# 31026</t>
    </r>
  </si>
  <si>
    <t>نستأذنك نبعت رسالة بالبيانات التالية عشان نقدر نراجع ونقدم الشكوى.
1- رقمك والعنوان بالتفصيل (المحافظة - المدينة - الحي - الشارع - رقم العقار - الدور إللي موجود فيه المشكلة)
2- علامة مميزة للمكان زي: كنيسة أو جامع أو محل مشهور؟
3- هل المشكلة في كل الأماكن ولا في مكان معين؟ ولما بنخرج منه الشبكة بتبقي شغالة كويس؟
4- هل في أرقام تانية في نفس المكان بتواجه المشكلة دي؟
5- المشكلة بدأت إمتى تقريباً؟
6- هل علامة الـ 3G بتظهر؟
7- لما بتكلم حد بيبقي في مشكلة في الصوت من الناحيتين؟ ولا عندك فقط؟
8- هل المكالمة بتفصل ولا بتفضل مستمرة ولو فصلت بتفصل في أولها ولا في نصها؟
9- ممكن رقم أرضي أو أي رقم غير اورنچ نقدر نتابع عليه؟</t>
  </si>
  <si>
    <t>Network Troubleshooting</t>
  </si>
  <si>
    <t xml:space="preserve">برن لل smc لو عنده مشكلة في تجديد عرض البورت اوت ال 60 الف </t>
  </si>
  <si>
    <r>
      <t>Installment</t>
    </r>
    <r>
      <rPr>
        <b/>
        <sz val="10"/>
        <color theme="0"/>
        <rFont val="Helvetica 55 Roman"/>
        <family val="2"/>
      </rPr>
      <t xml:space="preserve"> 0</t>
    </r>
    <r>
      <rPr>
        <b/>
        <sz val="10"/>
        <color theme="1"/>
        <rFont val="Helvetica 55 Roman"/>
        <family val="2"/>
      </rPr>
      <t xml:space="preserve">
</t>
    </r>
    <r>
      <rPr>
        <b/>
        <sz val="10"/>
        <color rgb="FFC00000"/>
        <rFont val="Helvetica 55 Roman"/>
        <family val="2"/>
      </rPr>
      <t xml:space="preserve">Generic
</t>
    </r>
    <r>
      <rPr>
        <sz val="10"/>
        <color theme="1"/>
        <rFont val="Helvetica 55 Roman"/>
        <family val="2"/>
      </rPr>
      <t>• In case customers are not eligible for Premier/Eagle handset installment for any reason, Agent should inform them
about other installment options.
• For FreeMax customers inquiring about installment options, Agent should upsell the migration 
to Premier tariffs to benefit from the Premier handset installment program.</t>
    </r>
  </si>
  <si>
    <t>في أكتر من طريقة للتقسيط؛ زي:
- التقسيط من الأونلاين شوب والدفع ببطاقة الإئتمان عند الإستلام أو أونلاين
- التقسيط على نظام Premier عن طريق الشراء أونلاين أو من خلال الفرع
- التقسيط من خلال الفرع بكارت إئتمان
- التقسيط مع ValU
- التقسيط مع Contact
- التقسيط مع Souhoola
- التقسيط مع TRU وFawry Yellow Card
لتفاصيل أكتر، برجاء توضيح نوع التقسيط إللي حابينه للمراجعة.
للشراء أونلاين، ممكن من اللينك ده
http://bit.ly/36GDhRd
ممكن نعرف أقرب فرع والمواعيد من هنا
https://backend.orange.eg/deeplinkredirect.html?screen=findstore</t>
  </si>
  <si>
    <t>Installment</t>
  </si>
  <si>
    <t xml:space="preserve"> https://shop.orange.eg/en/mobiles ممكن نتابع من خلال الموقع </t>
  </si>
  <si>
    <t>Shop</t>
  </si>
  <si>
    <t>outage cash</t>
  </si>
  <si>
    <t> حرصا منا على تقديم أفضل خدمة لعملائنا في حالياً بعض التحديثات على أنظمة التشغيل والخدمة هتكون شغاله في أقرب وقت ممكن  . تابعنا في خلال اليوم بعد الانتهاء من التحديث على الخدمة لمتابعة استفسارك</t>
  </si>
  <si>
    <t>وبنقدر نعرف تفاصيل الإستهلاك أخر 30 يوم من خلال تطبيق My Orange https://myo.orange.eg/my-consumption"</t>
  </si>
  <si>
    <t>Date</t>
  </si>
  <si>
    <t>Please check the VAS Name to know its related Tool from the below Schedule highlighted in YELLOW.</t>
  </si>
  <si>
    <t>GSM Tools</t>
  </si>
  <si>
    <t>Please Select The Needed Tool</t>
  </si>
  <si>
    <t>ADM Tool</t>
  </si>
  <si>
    <t>Link</t>
  </si>
  <si>
    <t>Username</t>
  </si>
  <si>
    <t>Password</t>
  </si>
  <si>
    <t>Tool Name</t>
  </si>
  <si>
    <t>Tool Link</t>
  </si>
  <si>
    <t>https://10.53.215.20/#/login</t>
  </si>
  <si>
    <t>Profile Username</t>
  </si>
  <si>
    <t>Profile Password</t>
  </si>
  <si>
    <t>Alerting (​SDP)​ New</t>
  </si>
  <si>
    <t>http://umvas.vlserv.com/DOBManagement/WebTool/CustomerCare/SDPCustomerCareTool/index</t>
  </si>
  <si>
    <t>OrangeCustomerCareUser</t>
  </si>
  <si>
    <t>QpEOYYn4s8</t>
  </si>
  <si>
    <t>Block Tool</t>
  </si>
  <si>
    <t>https://10.45.128.46:8080/CB-Provisioning-Web/login.xhtml</t>
  </si>
  <si>
    <t>Personal username</t>
  </si>
  <si>
    <t>qwA_324</t>
  </si>
  <si>
    <t>Call tone</t>
  </si>
  <si>
    <t>https://10.57.201.166:9143/cs/#/login</t>
  </si>
  <si>
    <t>Eligibility Tool</t>
  </si>
  <si>
    <t>http://10.11.121.24:448/MyAppsUnified/</t>
  </si>
  <si>
    <t>Personal</t>
  </si>
  <si>
    <t>E-TopUp (CS)</t>
  </si>
  <si>
    <t>https://pretups.orange.eg/pretups/</t>
  </si>
  <si>
    <t>No Need</t>
  </si>
  <si>
    <t>Exception tool Agent</t>
  </si>
  <si>
    <t>http://10.11.121.24:448/wfm/</t>
  </si>
  <si>
    <t>Fawry Platform OC</t>
  </si>
  <si>
    <t>http://192.168.168.150:8002/fawryadmin/fawryadmin/Fawry.html#GENERAL_HomeView</t>
  </si>
  <si>
    <t>Game+</t>
  </si>
  <si>
    <t>http://support.orangegamesplus.com/</t>
  </si>
  <si>
    <t>orangegamesplus@support.com</t>
  </si>
  <si>
    <t>ogps2021</t>
  </si>
  <si>
    <t>Gameloft</t>
  </si>
  <si>
    <t>https://secure.gameloft.com/supporttool/</t>
  </si>
  <si>
    <t>mobinilEgypt</t>
  </si>
  <si>
    <t>spTgNbL2</t>
  </si>
  <si>
    <t>Gaming</t>
  </si>
  <si>
    <t>http://41.33.87.164/bme/main/localAuth.action</t>
  </si>
  <si>
    <t>orangegame_cs</t>
  </si>
  <si>
    <t>Orange2022</t>
  </si>
  <si>
    <t>Home 4G Reset Loc.</t>
  </si>
  <si>
    <t>http://inforegcs.orange.eg/cck-clear-device-location.aspx</t>
  </si>
  <si>
    <t>Law Mawhoub</t>
  </si>
  <si>
    <t>http://orange.alerting.services/OrangeCC/Login.aspx</t>
  </si>
  <si>
    <t>OrangeCC</t>
  </si>
  <si>
    <t>tf7hy</t>
  </si>
  <si>
    <t>MCA New ​​tool</t>
  </si>
  <si>
    <t>https://10.45.128.46:8080/MCA-NOR-Web/login.xhtml</t>
  </si>
  <si>
    <t>csagent</t>
  </si>
  <si>
    <t>Mondia Media 1</t>
  </si>
  <si>
    <t>http://cuca.mondiamediamena.com/cuca/common/home</t>
  </si>
  <si>
    <t>orangeeg</t>
  </si>
  <si>
    <t>Orange@012</t>
  </si>
  <si>
    <t>Mondia Media 2</t>
  </si>
  <si>
    <t>https://customercare.mondia.com/web/user/services</t>
  </si>
  <si>
    <t>orangecustomercare@orange.com</t>
  </si>
  <si>
    <t>P@$$w0rd</t>
  </si>
  <si>
    <t>NPG</t>
  </si>
  <si>
    <t>https://10.11.121.67/NPG/</t>
  </si>
  <si>
    <t>OMA</t>
  </si>
  <si>
    <t>https://oma.apps-details.com/pub/login</t>
  </si>
  <si>
    <t>karim.wahby@orange.com</t>
  </si>
  <si>
    <t>HkwvpB9INEN0</t>
  </si>
  <si>
    <t>Oracle</t>
  </si>
  <si>
    <t>https://newapps.orange.eg/OA_HTML/AppsLocalLogin.jsp?langCode=US&amp;username=.3tygF8ki.1Og20MaEL5oobaHH7c7l50bNL1GDHhpCc</t>
  </si>
  <si>
    <t>Orange Devices</t>
  </si>
  <si>
    <t>https://intranet/Customers/Sales%20Network/Devices/Pages/default.aspx</t>
  </si>
  <si>
    <t>Pay for my community</t>
  </si>
  <si>
    <t>https://10.45.128.46:8080/P4MC-Provisioning-Web/login.xhtml</t>
  </si>
  <si>
    <t>Siebel</t>
  </si>
  <si>
    <t>https://10.11.127.112/siebel/app/ecomm/enu</t>
  </si>
  <si>
    <t>Siebel Cut Off Tool</t>
  </si>
  <si>
    <t>https://intranet/teamsites/customerService/Applications%20Guide/Siebel%20%28New%20CRM%20Application%29/Lists/Siebel%2024%205%202011/overview.aspx</t>
  </si>
  <si>
    <t>Stock Availability</t>
  </si>
  <si>
    <t>http://10.11.121.24:448/DialReleasing/StockAvilabilityPage</t>
  </si>
  <si>
    <t>Devices Name</t>
  </si>
  <si>
    <t>https://intranet/teamsites/customerService/functions/110 Agents/110 Call Guide/Handling Rules/Device Availability New Handling through Orange Shops/Pages/default.aspx</t>
  </si>
  <si>
    <t>T-Pay</t>
  </si>
  <si>
    <t>https://self-manage.tpay.me/simpleLogin.aspx</t>
  </si>
  <si>
    <t>Mobinilcustmercare@Mobinil.com</t>
  </si>
  <si>
    <t>Orange@2026</t>
  </si>
  <si>
    <t>USSD Link 1</t>
  </si>
  <si>
    <t>http://10.57.226.133:8081/</t>
  </si>
  <si>
    <t>clcm</t>
  </si>
  <si>
    <t>OE=G@2023</t>
  </si>
  <si>
    <t>USSD Link 2</t>
  </si>
  <si>
    <t>http://10.57.226.134:8081/</t>
  </si>
  <si>
    <t>USSD Link 3</t>
  </si>
  <si>
    <t>http://10.60.244.69:8081/</t>
  </si>
  <si>
    <t>Victory Link 1</t>
  </si>
  <si>
    <t>Victory Link 2</t>
  </si>
  <si>
    <t>http://umvas.vlserv.com/BillingPlatformUAT/WebTool/</t>
  </si>
  <si>
    <t>OrangeDOB</t>
  </si>
  <si>
    <t>Oran#$gdsdeD%012s</t>
  </si>
  <si>
    <t>Voucher Tool</t>
  </si>
  <si>
    <t>http://10.11.121.24:448/MyAppsUnified/Provisioning/EagleConsumerVoucher/Default.aspx</t>
  </si>
  <si>
    <t>WFM</t>
  </si>
  <si>
    <t>http://10.53.14.115:8085/wfm/login</t>
  </si>
  <si>
    <t>VAS Name</t>
  </si>
  <si>
    <t>Mondia Media</t>
  </si>
  <si>
    <t>Siebel SDP</t>
  </si>
  <si>
    <t>Orange Alerts</t>
  </si>
  <si>
    <t>Victory Link</t>
  </si>
  <si>
    <t>Baseplay Games</t>
  </si>
  <si>
    <t>Orange play</t>
  </si>
  <si>
    <t>Orange TV</t>
  </si>
  <si>
    <t>El Dawry</t>
  </si>
  <si>
    <t>Orange 8000</t>
  </si>
  <si>
    <t>Anghami</t>
  </si>
  <si>
    <t>Hipstia Games</t>
  </si>
  <si>
    <t>Orange TV Plus</t>
  </si>
  <si>
    <t>Abtal Africa</t>
  </si>
  <si>
    <t>El-Shasha</t>
  </si>
  <si>
    <t>Baseplay Pulse</t>
  </si>
  <si>
    <t>Fireplay Games</t>
  </si>
  <si>
    <t xml:space="preserve"> La Liga</t>
  </si>
  <si>
    <t>Montakhabna</t>
  </si>
  <si>
    <t>El Matbakh</t>
  </si>
  <si>
    <t>Baseplay Stream</t>
  </si>
  <si>
    <t>Jungle Games</t>
  </si>
  <si>
    <t>Almasry Alyoum</t>
  </si>
  <si>
    <t>Stad Orange</t>
  </si>
  <si>
    <t>Gorilla Fit</t>
  </si>
  <si>
    <t>Kinda Games</t>
  </si>
  <si>
    <t>My Academy</t>
  </si>
  <si>
    <t>Instant Win</t>
  </si>
  <si>
    <t>Ole</t>
  </si>
  <si>
    <t>Islamic 5555</t>
  </si>
  <si>
    <t>Globocom APPS HUB</t>
  </si>
  <si>
    <t>My Videos</t>
  </si>
  <si>
    <t>KalamAbrag</t>
  </si>
  <si>
    <t>Hareef Tabkh</t>
  </si>
  <si>
    <t>Shofha</t>
  </si>
  <si>
    <t>AmazonPrime</t>
  </si>
  <si>
    <t>Hareef Amthal</t>
  </si>
  <si>
    <t>ChfSherbini</t>
  </si>
  <si>
    <t>M3a Hakim</t>
  </si>
  <si>
    <t>Shahid VIP</t>
  </si>
  <si>
    <t>Apps Fusion</t>
  </si>
  <si>
    <t>Call N Win</t>
  </si>
  <si>
    <t>Fikr w Zikr</t>
  </si>
  <si>
    <t>Angham</t>
  </si>
  <si>
    <t>Globocom APPS PARADISE</t>
  </si>
  <si>
    <t>Apps Master</t>
  </si>
  <si>
    <t>Youm 7</t>
  </si>
  <si>
    <t>iRead</t>
  </si>
  <si>
    <t>AirG</t>
  </si>
  <si>
    <t>EFC - Daily</t>
  </si>
  <si>
    <t>Law Mawhoob</t>
  </si>
  <si>
    <t>مشروعك مع نجاتي</t>
  </si>
  <si>
    <t>Quickclips - AIRG</t>
  </si>
  <si>
    <t>Footballer Lives</t>
  </si>
  <si>
    <t>Hareef Kora</t>
  </si>
  <si>
    <t>PlayVOD</t>
  </si>
  <si>
    <t>OR Fight TV</t>
  </si>
  <si>
    <t>Fit Me</t>
  </si>
  <si>
    <t>Octothink</t>
  </si>
  <si>
    <t>Jawab Tawzeef</t>
  </si>
  <si>
    <t>Dr Jobs</t>
  </si>
  <si>
    <t>Baseplay Mastery</t>
  </si>
  <si>
    <t>Apps Zone</t>
  </si>
  <si>
    <t>Security player</t>
  </si>
  <si>
    <t>Apps4all</t>
  </si>
  <si>
    <t>Best Fortune Teller</t>
  </si>
  <si>
    <t>Gamestation</t>
  </si>
  <si>
    <t>Viddigo</t>
  </si>
  <si>
    <t>GameOn</t>
  </si>
  <si>
    <t>Jawabkom</t>
  </si>
  <si>
    <t>Pumba Games</t>
  </si>
  <si>
    <t>Apps4u</t>
  </si>
  <si>
    <t>VrXperience</t>
  </si>
  <si>
    <t>Globocom APPS EMPIRE</t>
  </si>
  <si>
    <t>Battle+</t>
  </si>
  <si>
    <t>Elegant Games</t>
  </si>
  <si>
    <t>Gemezz</t>
  </si>
  <si>
    <t>Duel - Velti</t>
  </si>
  <si>
    <t>Music Store 2</t>
  </si>
  <si>
    <t>Globocom_Game Hub</t>
  </si>
  <si>
    <t>Royale Games OR EG</t>
  </si>
  <si>
    <t>Globocom_GamesTube</t>
  </si>
  <si>
    <t>Mobio360</t>
  </si>
  <si>
    <t>CLIPO RPB</t>
  </si>
  <si>
    <t>Unlimited Gamez</t>
  </si>
  <si>
    <t>dubizzle</t>
  </si>
  <si>
    <t>Games_Box</t>
  </si>
  <si>
    <t>Unlimited Streaming</t>
  </si>
  <si>
    <t>Linetips</t>
  </si>
  <si>
    <t>Huawei AppGallery</t>
  </si>
  <si>
    <t>Football_O</t>
  </si>
  <si>
    <t>Easy Download</t>
  </si>
  <si>
    <t>City Gamez</t>
  </si>
  <si>
    <t>Playzone-FM</t>
  </si>
  <si>
    <t>Prizeo</t>
  </si>
  <si>
    <t>Weezchat</t>
  </si>
  <si>
    <t>Games Island</t>
  </si>
  <si>
    <t>Marvel - Cowboy2u</t>
  </si>
  <si>
    <t>OMG</t>
  </si>
  <si>
    <t>Gamezine</t>
  </si>
  <si>
    <t>Mobiflix</t>
  </si>
  <si>
    <t>Playweez</t>
  </si>
  <si>
    <t>Amazing-Videos</t>
  </si>
  <si>
    <t>Flash Win</t>
  </si>
  <si>
    <t>Magzmobi</t>
  </si>
  <si>
    <t>Gamelords</t>
  </si>
  <si>
    <t>LAKI</t>
  </si>
  <si>
    <t>VUClip</t>
  </si>
  <si>
    <t>SecretBox</t>
  </si>
  <si>
    <t>GoooGame</t>
  </si>
  <si>
    <t>Jam Games</t>
  </si>
  <si>
    <t>Globocom_GamingBox</t>
  </si>
  <si>
    <t>Games World  - Daily</t>
  </si>
  <si>
    <t>Globocom_Game Power</t>
  </si>
  <si>
    <t>Gameonz</t>
  </si>
  <si>
    <t>Vuclip Games Centre</t>
  </si>
  <si>
    <t>Vidbites</t>
  </si>
  <si>
    <t>Clicnscores</t>
  </si>
  <si>
    <t>Gamer Planet</t>
  </si>
  <si>
    <t>Jawab Mehan</t>
  </si>
  <si>
    <t>Gamers Lounge</t>
  </si>
  <si>
    <t>vidflix</t>
  </si>
  <si>
    <t>Gamebox</t>
  </si>
  <si>
    <t>Playwing</t>
  </si>
  <si>
    <t>Gamiclub</t>
  </si>
  <si>
    <t>Jawwy TV</t>
  </si>
  <si>
    <t>Game Cloud OR</t>
  </si>
  <si>
    <t>Naugames</t>
  </si>
  <si>
    <t>Comedy Clips</t>
  </si>
  <si>
    <t>Watch iT</t>
  </si>
  <si>
    <t>RealMadrid</t>
  </si>
  <si>
    <t>Es2al</t>
  </si>
  <si>
    <t>TheGameVille</t>
  </si>
  <si>
    <t>MobioAstro</t>
  </si>
  <si>
    <t>CLASSY GAMES ORANGE</t>
  </si>
  <si>
    <t>Learn English with Oxford</t>
  </si>
  <si>
    <t>Apps Paramount</t>
  </si>
  <si>
    <t>100% Sports</t>
  </si>
  <si>
    <t>Gameland</t>
  </si>
  <si>
    <t>Dr.Jobs</t>
  </si>
  <si>
    <t>Play Warrior</t>
  </si>
  <si>
    <t>Ghenwety</t>
  </si>
  <si>
    <t>Gamezone</t>
  </si>
  <si>
    <t>Globocom_WorldGames</t>
  </si>
  <si>
    <t>Gamers Garage</t>
  </si>
  <si>
    <t>AirG_MiniME-Videos</t>
  </si>
  <si>
    <t>sportmob</t>
  </si>
  <si>
    <t>Zikplay</t>
  </si>
  <si>
    <t>Imanyat</t>
  </si>
  <si>
    <t>FunPlus - PureTech</t>
  </si>
  <si>
    <t>Video_O</t>
  </si>
  <si>
    <t>Play24now - Telefuture</t>
  </si>
  <si>
    <t>Romanceyat</t>
  </si>
  <si>
    <t>Zergame</t>
  </si>
  <si>
    <t>Just for Laughs</t>
  </si>
  <si>
    <t>Games Online</t>
  </si>
  <si>
    <t>VDO BOX</t>
  </si>
  <si>
    <t>Brainee</t>
  </si>
  <si>
    <t>Dreams</t>
  </si>
  <si>
    <t>Mcomics - Pheuture</t>
  </si>
  <si>
    <t>Gameshub</t>
  </si>
  <si>
    <t>Animal Protection Foundation</t>
  </si>
  <si>
    <t>Action Box</t>
  </si>
  <si>
    <t>Gamepad</t>
  </si>
  <si>
    <t>Funny Zone</t>
  </si>
  <si>
    <t>Dream</t>
  </si>
  <si>
    <t>360VUZ</t>
  </si>
  <si>
    <t>Fight club - Digital Arena</t>
  </si>
  <si>
    <t>Coolicious</t>
  </si>
  <si>
    <t>MODOBOM Games</t>
  </si>
  <si>
    <t>Game Master</t>
  </si>
  <si>
    <t>Digicenter</t>
  </si>
  <si>
    <t>gamesworld</t>
  </si>
  <si>
    <t>Top Mobile Games</t>
  </si>
  <si>
    <t>Games Beat Egypt Orange</t>
  </si>
  <si>
    <t>Videos Online - Mobifyn Inc</t>
  </si>
  <si>
    <t>OEYNGC</t>
  </si>
  <si>
    <t>Cool Videos - MODOBOM</t>
  </si>
  <si>
    <t>Funstation</t>
  </si>
  <si>
    <t>DVServices</t>
  </si>
  <si>
    <t>Goaly</t>
  </si>
  <si>
    <t>Game Junction</t>
  </si>
  <si>
    <t>Jobs Arabia</t>
  </si>
  <si>
    <t>grottogamer</t>
  </si>
  <si>
    <t>Playmaniax</t>
  </si>
  <si>
    <t>Funnerz - Triple Tonic</t>
  </si>
  <si>
    <t>Megaplay</t>
  </si>
  <si>
    <t>Hollywood Store</t>
  </si>
  <si>
    <t>Cooklikers</t>
  </si>
  <si>
    <t>Afashat</t>
  </si>
  <si>
    <t>Coolicioux</t>
  </si>
  <si>
    <t>Trix Book - Outrixwave</t>
  </si>
  <si>
    <t>Horoscopes Portal</t>
  </si>
  <si>
    <t>FaveZone</t>
  </si>
  <si>
    <t>Playmaniax 2</t>
  </si>
  <si>
    <t>X fighter</t>
  </si>
  <si>
    <t>SportsCafe - Daily</t>
  </si>
  <si>
    <t>Easy Fitness-Inspiritum</t>
  </si>
  <si>
    <t>App Bucket</t>
  </si>
  <si>
    <t>Lamsa</t>
  </si>
  <si>
    <t>GAME CLASH OR EG</t>
  </si>
  <si>
    <t>Striker</t>
  </si>
  <si>
    <t>Gamezcart - Daily</t>
  </si>
  <si>
    <t>IKangoo</t>
  </si>
  <si>
    <t>Classic Cuisine</t>
  </si>
  <si>
    <t>Gameloft_preload</t>
  </si>
  <si>
    <t>Mamameo</t>
  </si>
  <si>
    <t>Mobile games club - Nuvonia</t>
  </si>
  <si>
    <t>Apps Sonic</t>
  </si>
  <si>
    <t>Play Win</t>
  </si>
  <si>
    <t>BeeGames Weekly</t>
  </si>
  <si>
    <t>TDO Care</t>
  </si>
  <si>
    <t>PlatinumGames</t>
  </si>
  <si>
    <t>Nauvideos</t>
  </si>
  <si>
    <t>Kazoz</t>
  </si>
  <si>
    <t>Game Keeda</t>
  </si>
  <si>
    <t>Download Shared</t>
  </si>
  <si>
    <t>Draw IT-Pheuture</t>
  </si>
  <si>
    <t>Games Planet</t>
  </si>
  <si>
    <t>Fun Unlimited</t>
  </si>
  <si>
    <t>Mazamob</t>
  </si>
  <si>
    <t>Star Games - Inla Mobile</t>
  </si>
  <si>
    <t>123 games</t>
  </si>
  <si>
    <t>Life Style</t>
  </si>
  <si>
    <t>Turizmo</t>
  </si>
  <si>
    <t>Funzstation</t>
  </si>
  <si>
    <t>Game Factory</t>
  </si>
  <si>
    <t>Plazamobi</t>
  </si>
  <si>
    <t>JoyLand</t>
  </si>
  <si>
    <t>Playflix-BQ</t>
  </si>
  <si>
    <t>Wajeez</t>
  </si>
  <si>
    <t>Netsogo</t>
  </si>
  <si>
    <t>Health Center</t>
  </si>
  <si>
    <t>Al-tibbi</t>
  </si>
  <si>
    <t>PotionGames</t>
  </si>
  <si>
    <t>Globocom_SportsClub</t>
  </si>
  <si>
    <t>Apps Key</t>
  </si>
  <si>
    <t>GameSuite</t>
  </si>
  <si>
    <t>Word Race</t>
  </si>
  <si>
    <t>Gamecious -Primacom</t>
  </si>
  <si>
    <t>Mobile Play</t>
  </si>
  <si>
    <t>Assassin's Creed</t>
  </si>
  <si>
    <t>BBC Portal</t>
  </si>
  <si>
    <t>HesasMasr</t>
  </si>
  <si>
    <t>Madrasty</t>
  </si>
  <si>
    <t>Magdi Yacoub Donations</t>
  </si>
  <si>
    <t>Super Battery</t>
  </si>
  <si>
    <t>Hagati</t>
  </si>
  <si>
    <t>Visual Games</t>
  </si>
  <si>
    <t>Jamalok</t>
  </si>
  <si>
    <t>Gamezshop</t>
  </si>
  <si>
    <t>Mobbile - BQ Solutions</t>
  </si>
  <si>
    <t>Gmely</t>
  </si>
  <si>
    <t>Yaw Yaw</t>
  </si>
  <si>
    <t>PayTM</t>
  </si>
  <si>
    <t>Tips4life</t>
  </si>
  <si>
    <t>Treasure Island - Velti</t>
  </si>
  <si>
    <t>Kaka Games</t>
  </si>
  <si>
    <t>GamzFun</t>
  </si>
  <si>
    <t>WhiteBoard</t>
  </si>
  <si>
    <t>Alkhaznah Trivial - Beecell</t>
  </si>
  <si>
    <t>Dar AlOrman</t>
  </si>
  <si>
    <t>Marah</t>
  </si>
  <si>
    <t>Arabic Gossip Portal</t>
  </si>
  <si>
    <t>Aha games - transsion</t>
  </si>
  <si>
    <t>Abwab El Janna</t>
  </si>
  <si>
    <t>UPAR - Timwe</t>
  </si>
  <si>
    <t>Selah El Telmeez</t>
  </si>
  <si>
    <t>Al Wasseya</t>
  </si>
  <si>
    <t>games2learn</t>
  </si>
  <si>
    <t>Premium Games - DigiBox</t>
  </si>
  <si>
    <t>Video Tube - ADP-RB</t>
  </si>
  <si>
    <t>Raseedi</t>
  </si>
  <si>
    <t>Mobiadoo (Buzz Box)</t>
  </si>
  <si>
    <t>Iqraaly</t>
  </si>
  <si>
    <t>FLXTR</t>
  </si>
  <si>
    <t>Podu</t>
  </si>
  <si>
    <t>Weyyak</t>
  </si>
  <si>
    <t>Ay Khedma</t>
  </si>
  <si>
    <t>Jawab Smart</t>
  </si>
  <si>
    <t>Reedz</t>
  </si>
  <si>
    <t>Baheya</t>
  </si>
  <si>
    <t>La3eeb</t>
  </si>
  <si>
    <t>Edeni Shoghl</t>
  </si>
  <si>
    <t>Animal PF</t>
  </si>
  <si>
    <t>VideoBazaar</t>
  </si>
  <si>
    <t>Sports Club - Pansofic</t>
  </si>
  <si>
    <t>Bilmizan</t>
  </si>
  <si>
    <t>GTP-Ripple</t>
  </si>
  <si>
    <t>Ershak Elabyad</t>
  </si>
  <si>
    <t>Bab rezk</t>
  </si>
  <si>
    <t>GamerHeaven - 8Elements</t>
  </si>
  <si>
    <t>MerchantTest_Acquisition</t>
  </si>
  <si>
    <t>Virtual Games - Kelzar</t>
  </si>
  <si>
    <t>Mobceen Games</t>
  </si>
  <si>
    <t>Dicta</t>
  </si>
  <si>
    <t>EgyMob</t>
  </si>
  <si>
    <t>Pocket 4 Fun - Go4Mobility</t>
  </si>
  <si>
    <t>ineed</t>
  </si>
  <si>
    <t>merchanttest</t>
  </si>
  <si>
    <t>Gaming Zone - HPG</t>
  </si>
  <si>
    <t>Play Zone - HPG</t>
  </si>
  <si>
    <t>Gameapp_Protexiom</t>
  </si>
  <si>
    <t>Fitness Box - Waplead</t>
  </si>
  <si>
    <t>GTP-2</t>
  </si>
  <si>
    <t>Science Bay - Innovera Solutions</t>
  </si>
  <si>
    <t>Hedaya</t>
  </si>
  <si>
    <t>Aalbert</t>
  </si>
  <si>
    <t>Integration Test</t>
  </si>
  <si>
    <t>Xone - Renox</t>
  </si>
  <si>
    <t>AmuseTheKidz</t>
  </si>
  <si>
    <t>Flutterwave</t>
  </si>
  <si>
    <t>Eksab</t>
  </si>
  <si>
    <t>active raseed</t>
  </si>
  <si>
    <t>في حالة ان الخط كان غير مسجل باسم حضرتك مش هنقدر نشتريه مرة اخرى</t>
  </si>
  <si>
    <t>verf sim</t>
  </si>
  <si>
    <r>
      <t xml:space="preserve">Reinstatement
</t>
    </r>
    <r>
      <rPr>
        <sz val="10"/>
        <color rgb="FFC00000"/>
        <rFont val="Helvetica 55 Roman"/>
        <family val="2"/>
      </rPr>
      <t>Prepaid</t>
    </r>
  </si>
  <si>
    <t>عشان نعمل إعادة تعاقد؛ هنحتاج صاحب الخط يشرفنا بالزيارة في الفرع بنفسه بالبطاقة الشخصية، أو أي شخص يكون معاه توكيل خاص موجه لشركة اورنچ مصر للإتصالات، أو توكيل عام منصوص به على صلاحيته في التعامل على خطوط التليفون المحمول، وبنقدم طلب مجاناً للمراجعة على إمكانية إعادة الخط مرة تانية.
ممكن نعرف أقرب فرع والمواعيد من هنا
https://backend.orange.eg/deeplinkredirect.html?screen=findstore
ولو حابين نزور فرع رئيسي في خلال 3 ايام لطلب إعادة التعاقد ممكن تبعتلنا البيانات دي في رسالة واحدة
الإسم وعنوان أقرب فرع رئيسي ورقم موبايل للتواصل عشان الفرع يكلمك خلال 24 ساعة ويساعدك بخصوص إعادة التعاقد</t>
  </si>
  <si>
    <r>
      <t xml:space="preserve">Reinstatement
</t>
    </r>
    <r>
      <rPr>
        <sz val="10"/>
        <color rgb="FFC00000"/>
        <rFont val="Helvetica 55 Roman"/>
        <family val="2"/>
      </rPr>
      <t>Postpaid/C&amp;C Within The 15 days</t>
    </r>
  </si>
  <si>
    <t>عشان نعمل إعادة تعاقد؛ صاحب الخط بيزورأقرب فرع بنفسه بالبطاقة الشخصية، أو أي شخص يكون معاه توكيل خاص موجه لشركة اورنچ مصر للإتصالات، أو توكيل عام منصوص به على صلاحيته في التعامل على خطوط التليفون المحمول، وبنقدم طلب إعادة الخط مره تانية مجاناً، والخط هيشتغل في خلال 48 ساعة عمل بعد سداد المستحقات.
لو في خلال 15 يوم من إيقاف الخط، بنقدر ناخد نفس الرقم ولكن بعد الـ 15 يوم من إيقاف الخط هيتم المراجعة على إمكانية إعادة التعاقد، مع العلم إن تشغيل الخط بيكون على أنظمة Premier.
ممكن نعرف أقرب فرع والمواعيد من هنا
https://backend.orange.eg/deeplinkredirect.html?screen=findstore
ولو حابين نزور فرع رئيسي في خلال 3 ايام لطلب إعادة التعاقد ممكن تبعتلنا البيانات دي في رسالة واحدة
الإسم وعنوان أقرب فرع رئيسي ورقم موبايل للتواصل عشان الفرع يكلمك خلال 24 ساعة ويساعدك بخصوص إعادة التعاقد</t>
  </si>
  <si>
    <r>
      <t xml:space="preserve">Reinstatement
</t>
    </r>
    <r>
      <rPr>
        <sz val="10"/>
        <color rgb="FFC00000"/>
        <rFont val="Helvetica 55 Roman"/>
        <family val="2"/>
      </rPr>
      <t>Postpaid/C&amp;C Exceeded The 15 Days</t>
    </r>
    <r>
      <rPr>
        <sz val="10"/>
        <color theme="1"/>
        <rFont val="Helvetica 55 Roman"/>
        <family val="2"/>
      </rPr>
      <t/>
    </r>
  </si>
  <si>
    <t>عشان نعمل إعادة تعاقد؛ صاحب الخط بيزور أقرب فرع بنفسه بالبطاقة الشخصية، أو أي شخص يكون معاه توكيل خاص موجه لشركة اورنچ مصر للإتصالات، أو توكيل عام منصوص به على صلاحيته في التعامل على خطوط التليفون المحمول، وبنقدم طلب مجاناً للمراجعة على إمكانية إعادة الخط مرة تانية، مع العلم إن تشغيل الخط بيكون على أنظمة Premier أو أنظمة الكارت وده بيتم توضيحه في الفرع، بشرط إنه يكون بنفس البيانات القديمة لصاحب الخط بدون تغيير، فقط بنسدد المستحقات مع دفع الرسوم الخاصة بإستبدال شريحة جديدة والطلب بيتم في خلال 72 ساعة.
ممكن نعرف أقرب فرع والمواعيد من هنا
https://backend.orange.eg/deeplinkredirect.html?screen=findstore
ولو حابين نزور فرع رئيسي في خلال 3 ايام لطلب إعادة التعاقد ممكن تبعتلنا البيانات دي في رسالة واحدة
الإسم وعنوان أقرب فرع رئيسي ورقم موبايل للتواصل عشان الفرع يكلمك خلال 24 ساعة ويساعدك بخصوص إعادة التعاقد</t>
  </si>
  <si>
    <r>
      <t xml:space="preserve">New Line
</t>
    </r>
    <r>
      <rPr>
        <b/>
        <sz val="10"/>
        <color rgb="FFC00000"/>
        <rFont val="Helvetica 55 Roman"/>
        <family val="2"/>
      </rPr>
      <t>Generic</t>
    </r>
  </si>
  <si>
    <t>يشرفنا وجودك معانا، سعر الخط يبدأ من 84 جنيه.بنختار بين انظمة الفاتورة بريمير او انظمة الشحن فري ماكس.
وبنحتاج يكون معاك البطاقة الشخصية سارية واثبات شخصية تانى لأنظمة بريمير
 ممكن مراجعة الانظمة الاخرى من اللينك ده 
https://shop.orange.eg/ar/tariff-plans
والفروع و مواعيد العمل من اللينك ده 
https://www.orange.eg/ar/find-store
وممكن توضح الإسم والعنوان ورقم للتواصل 
وممكن مراجعة أحدث عروضنا من اللينك ده
https://www.orange.eg/ar/offers-promotions/</t>
  </si>
  <si>
    <t>اورنچ بتقدم أنظمة كتير تناسب إستهلاكنا.
بخطوه واحده نقدر نعرف كل تفاصيل النظام او نحول للنظام اللى يناسبنا مع ابلكيشن اورنچ 
https://myo.orange.eg/My-Tariff
 ولو عايزين نراجع الأنظمة فهي متاحة في اللينك ده
https://shop.orange.eg/ar/tariff-plans</t>
  </si>
  <si>
    <r>
      <t xml:space="preserve">Tariffs
</t>
    </r>
    <r>
      <rPr>
        <sz val="10"/>
        <color theme="1"/>
        <rFont val="Helvetica 55 Roman"/>
        <family val="2"/>
      </rPr>
      <t xml:space="preserve">thanks to upsell my orange app for tariffs info ,migrations and renewals
</t>
    </r>
    <r>
      <rPr>
        <b/>
        <sz val="10"/>
        <color rgb="FFC00000"/>
        <rFont val="Helvetica 55 Roman"/>
        <family val="2"/>
      </rPr>
      <t xml:space="preserve">https://myo.orange.eg/My-Tariff </t>
    </r>
  </si>
  <si>
    <t>info</t>
  </si>
  <si>
    <t>Reinstatement</t>
  </si>
  <si>
    <t>تمام العرض متفعلش عشان حضرتك مشترتكش فيه</t>
  </si>
  <si>
    <t>العرض بيكون متاح للمدة الموضحة في الرسالة يا فندم لازم حضرتك تشترك في العرض</t>
  </si>
  <si>
    <t>مع عروض #012# هنشحن ونكسب لحد 100 ضعف الشحنة نت وكمان ممكن نبعت الهدية لـ 5  من حبايبنا عشان نستخدم الـ 5G مع اورنچ 
هندخل علي عروض 012 من ابلكيشن اورنچ او نطلب #012# قبل الشحن ونعرف الشحنة ال هتكسبنا</t>
  </si>
  <si>
    <t>Deleting Tariff</t>
  </si>
  <si>
    <t>ممكن نساعدك في إختيار نظام أنسب ونحول له، عشان مفيش إلغاء للنظام، ولو عايزين نراجع الأنظمة فهي متاحة في اللينك ده
https://shop.orange.eg/ar/tariff-plans
و ممكن نختار النظام والمتابعة معانا وإحنا هنوضحلك إزاي نحول له بسهولة.</t>
  </si>
  <si>
    <t xml:space="preserve">تمام حضرتك هتقوم بتفعيل الخطوات التنشيطية التالية و في حالة استمرار المشكلة بتتواصل معانا مرة اخرى حضرتك بتقوم بغلق بيانات الهاتف و جميع التطبيقات المفتوحه بالخلفيه و بعدها نفعل وضع الطيران لمدة 10 ثواني و نرجع نغلق وضع الطيران و نطلب الكود #57# للتنشييط </t>
  </si>
  <si>
    <t>Good evening "" 😊 , this is "Amr" from Orange WhatsApp Support." Your inquiry is regarding this dial "" or another one ?</t>
  </si>
  <si>
    <t xml:space="preserve">واضح امامي حضرتك غير مشترك في اي عروض خاصة بالانترنت و بالتالي بيتم ايقاف اي عروض في حالة عدم وحود باقة اساسية </t>
  </si>
  <si>
    <t>Life Time Validity</t>
  </si>
  <si>
    <t>للحفاظ على الصلاحية؛ لازم نعمل إرسال أو إستقبال مكالمة أو عملية شحن أو رسالة أو التحويل لنظام آخر يكون له رسوم تحويل أو الإستعلام عن الرصيد أو الدخول على الإنترنت كل 90 يوم، أو الخط هيدخل في فترة سماح 10 أيام بعد كده مرحلة الإيقاف لمدة 5 أيام، وممكن خلالهم إعادة تفعيل الخط بمكالمة لـ 400.
ولو ماتمش أي إجراء؛ بترجع ملكية الخط للشركة بناءً على تعليمات المرفق القومي لتنظيم الإتصالات.</t>
  </si>
  <si>
    <t>انا من خلالي عملت تنشيط للهدية و حابب اوضح ان موبيل حضرتك هو اللي عمل حجز للميجات و بالتالي بيستخدم من الباقة قبل الهدية </t>
  </si>
  <si>
    <t xml:space="preserve">sr add roaimng for prepaid or verf and add it </t>
  </si>
  <si>
    <t>العرض بالفعل متفعل مع حضرتك يا فندم و لكن الباقه بتنزل علي جزئين باقه اساسيه و باقه اضافيه و علشان يا فندم تم تغيير سياسه الاستهلاك يا فندم لباقات جو في عرض الضعف و هي و ان الاستهلاك بيكون الاول من الباقه الاساسيه ثم بيتم الاستهلاك من باقه عرض الضعف بعد انتهاء الباقه الاساسيه "ممكن الإستعلام عن المتبقي في الباقة من خلال الكود #136# وبشكل عام للتحكم ومتابعة إستهلاك الإنترنت؛ ممكن نستخدم تطبيق My Orange، وإستخدام التطبيق مجاناً، أو من خلال #100#."</t>
  </si>
  <si>
    <t>run</t>
  </si>
  <si>
    <t>8w</t>
  </si>
  <si>
    <t>prank</t>
  </si>
  <si>
    <t>الرصيد المضاف من خلالنا او بمعني اصح تعويض الرصيد من خلالنا غير صالح لتجديد باقة يا فندم تقدر تشحن رصيد صافي لتجديد او الاشتراك في اي عرض </t>
  </si>
  <si>
    <t>بما إن التجديد تم عن طريق المحفظة من خلال استخدام حضرتك، فالشركة بتنَفّذ العملية بمجرد وصول طلب الدفع، ومبيكونش فيه تدخل يدوي من جانبنا في تكرار العملية.  للأسف في الحالة دي مفيش إمكانية لإلغاء أو استرجاع لأن الباقتين اتفعلوا فعليًا على الخط.</t>
  </si>
  <si>
    <t>و ممكن تفعيل او إلغاء بعض خدمات اورنچ عن طريق الكود الموحد #155*</t>
  </si>
  <si>
    <t>Yesterday</t>
  </si>
  <si>
    <t>Login</t>
  </si>
  <si>
    <t>Next day</t>
  </si>
  <si>
    <t>off</t>
  </si>
  <si>
    <t>ممكن نوضح اسم صاحب الخط بالكامل والرقم القومي بالكامل لصاحب الخط ؟</t>
  </si>
  <si>
    <t>ممكن تبعتلنا صورة سكرين شوت كامل من رساله العرض يكون واضح فيها الوقت و التاريخ و الرقم المستلم و الجهة اللي تم الارسال منها بدون قص الصورة ؟</t>
  </si>
  <si>
    <t>واضح امامي ان حضرتك اشتركت في اكتر من عرض و بالتالي الباقة الاساسية اتلغت و العرض الضعف اتلغى ف حضرتك محتاج تجدد باقة اساسية</t>
  </si>
  <si>
    <t>تم مراجعة الشكوى و اضح ان تم الانتهاء من العمل على لشكوى و تم حلها بخصوص ضعف الانترنت  و في حالة ان كان ف امكانية للتويض كان القسم المختص وضح هذا و لكن من خلالي ارضاءا بحضرتك هيتم اضافة تعويض بقيمة 500 ميجا صالحين لاخر اليوم </t>
  </si>
  <si>
    <t>لمعرفة المبلغ المستحق لخدمة سلفني برجاء الإتصال بالكود #444# أو #16# أو #155*</t>
  </si>
  <si>
    <t>المستحقات</t>
  </si>
  <si>
    <r>
      <t xml:space="preserve">Salefny Service
</t>
    </r>
    <r>
      <rPr>
        <b/>
        <sz val="20"/>
        <color rgb="FFC00000"/>
        <rFont val="Helvetica 55 Roman"/>
      </rPr>
      <t>Note</t>
    </r>
  </si>
  <si>
    <r>
      <rPr>
        <b/>
        <sz val="10"/>
        <color theme="1"/>
        <rFont val="Helvetica 55 Roman"/>
      </rPr>
      <t>Please brief your respectful teams to follow the below steps in case of receiving customer complaining that s/he can’t use Salefny service.</t>
    </r>
    <r>
      <rPr>
        <sz val="10"/>
        <color theme="1"/>
        <rFont val="Helvetica 55 Roman"/>
      </rPr>
      <t xml:space="preserve">
• Frontline agent should check customer’s ARPU as follows before submitting complaint to complaint handling teams.
• If dial’s ARPU is less than 5 EGP accordingly customer </t>
    </r>
    <r>
      <rPr>
        <sz val="10"/>
        <color rgb="FFC00000"/>
        <rFont val="Helvetica 55 Roman"/>
      </rPr>
      <t>will not be able to use Salefny Service.</t>
    </r>
    <r>
      <rPr>
        <sz val="10"/>
        <color theme="1"/>
        <rFont val="Helvetica 55 Roman"/>
      </rPr>
      <t xml:space="preserve">
• Enter customer’s dial from Service account list tab then press on 360 View to check the ARPU.</t>
    </r>
  </si>
  <si>
    <r>
      <t xml:space="preserve">Salefny Service
</t>
    </r>
    <r>
      <rPr>
        <b/>
        <sz val="10"/>
        <color rgb="FFC00000"/>
        <rFont val="Helvetica 55 Roman"/>
      </rPr>
      <t>Emergency Credit</t>
    </r>
    <r>
      <rPr>
        <b/>
        <sz val="10"/>
        <color theme="1"/>
        <rFont val="Helvetica 55 Roman"/>
      </rPr>
      <t xml:space="preserve">
</t>
    </r>
    <r>
      <rPr>
        <sz val="10"/>
        <color theme="1"/>
        <rFont val="Helvetica 55 Roman"/>
      </rPr>
      <t>Premium 25 profiles are not eligible</t>
    </r>
  </si>
  <si>
    <t>دلوقتي مع خدمة سلفني، ممكن نعمل مكالمات أو نبعت رسايل حتى لو مفيش رصيد
هنقدر نستلف 7 جنيه متضمنة 2 جنيه تكلفة الخدمة بصافي رصيد 5 جنيه من خلال #444# أو #8#.
ممكن نستخدم رصيد سلفني شكراً لإجراء مكالمات أو إرسال رسايل لأي رقم محلي أو الدخول على الإنترنت أو الإشتراك في الخدمات وباقات الإنترنت لحين قيامك بإعادة الشحن.
https://www.orange.eg/ar/services/shokran#Salefny</t>
  </si>
  <si>
    <r>
      <t xml:space="preserve">Salefny Service
</t>
    </r>
    <r>
      <rPr>
        <b/>
        <sz val="10"/>
        <color rgb="FFC00000"/>
        <rFont val="Helvetica 55 Roman"/>
      </rPr>
      <t>Emergency Call</t>
    </r>
  </si>
  <si>
    <t>مع خدمة سلفني مكالمة، لو رصيدنا أقل من 19 قرش هنقدر نعمل مكالمة لمدة 5 دقائق لأي رقم في مصر
سعر الدقيقة 20 قرش داخل خدمة سلفني مكالمة بحد أدنى 60 قرش ... مثال: لو عملنا دقيقة من خدمة سلفني مكالمة، سيتم خصم 60 قرش عند الشحن​.
للإشتراك ممكن نكلم 400 أو #100# مجاناً.
https://www.orange.eg/ar/services/shokran#Salefny</t>
  </si>
  <si>
    <r>
      <t xml:space="preserve">Salefny Service
</t>
    </r>
    <r>
      <rPr>
        <b/>
        <sz val="10"/>
        <color rgb="FFC00000"/>
        <rFont val="Helvetica 55 Roman"/>
      </rPr>
      <t>Emergency MBs</t>
    </r>
  </si>
  <si>
    <t>مع خدمة سلفني نت، لو الميجابايتس خلصت ورصيدك 1.74 جنيه أو أقل ... هنقدر نستلف 50 ميجابايتس صالحة لمدة يومين، ندخل بيهم على الإنترنت لحد ما نشحن وهيتخصم 2.5 جنيه تكلفة الخدمة.
بعد سداد التكلفة، نقدر نستخدم الخدمة مرة تانية.
للإشتراك ممكن نكلم 400 أو #444# مجاناً.
https://www.orange.eg/ar/services/shokran#Salefny</t>
  </si>
  <si>
    <r>
      <t xml:space="preserve">Salefny Service
</t>
    </r>
    <r>
      <rPr>
        <b/>
        <sz val="10"/>
        <color rgb="FFC00000"/>
        <rFont val="Helvetica 55 Roman"/>
      </rPr>
      <t>Emergency Bundle</t>
    </r>
  </si>
  <si>
    <t>دلوقتي نقدر نستخدم خدمة سلفني في تجديد الباقات الشهرية وتقدر نسدد قيمة السلفة وسعر الخدمة خلال 7 أيام، وبنتحاسب على 20% من قيمة السلفة (بقيمة 1 جنيه لكل 5 جنيه).
للإستفادة من الخدمة في تجديد باقة الإنترنت بنقدر نكلم #222#، ولتجديد باقة النظام ممكن نكلم #100# ونختار رقم 5 أو ممكن من خلال الإتصال #0#.
https://www.orange.eg/ar/services/shokran#Salefny</t>
  </si>
  <si>
    <r>
      <t xml:space="preserve">Salefny Service
</t>
    </r>
    <r>
      <rPr>
        <b/>
        <sz val="10"/>
        <color rgb="FFC00000"/>
        <rFont val="Helvetica 55 Roman"/>
      </rPr>
      <t>Due Amount</t>
    </r>
    <r>
      <rPr>
        <b/>
        <sz val="10"/>
        <color theme="1"/>
        <rFont val="Helvetica 55 Roman"/>
      </rPr>
      <t xml:space="preserve">
</t>
    </r>
    <r>
      <rPr>
        <b/>
        <sz val="10"/>
        <color rgb="FFC00000"/>
        <rFont val="Helvetica 55 Roman"/>
      </rPr>
      <t>عايز اعرف عليا كام لسلفني</t>
    </r>
  </si>
  <si>
    <t>Salefny Service</t>
  </si>
  <si>
    <t>حابب اوضح ان العرض بينزل لحضرتك تاني يوم يعني حضرتك بتستهلك انهاردة بينزل تاني يوم يعني بكرة بعد الساعة 1 ظهرا</t>
  </si>
  <si>
    <t>من خلالي هقدم شكوى اخاطب فيها القسم المختص بعدم نزول الهدية لحضرتك يا فندم</t>
  </si>
  <si>
    <t>واضح امامي ان مفيش اي رسالة وصلت لحضرتك بالعرض في الحالة دي تقدر تراجع العروض من خلال #012#</t>
  </si>
  <si>
    <t>بنعتذر جدا صلاحية الهدية انتهت مفيش اي معملومات هتكون موضحة من خلالي سواء هل الهدية بالفعل نزلت او لا و انصح حضرتك في حالة اي خطأ في عرض او منزلش بسرعة التوجه و الاتصال بنا </t>
  </si>
  <si>
    <t>msg offer B2B</t>
  </si>
  <si>
    <t xml:space="preserve">هيتم المراجعة من خلال القسم المختص و في حالة بيان ان هناك خطا تقني هيتم اتخاذ الاجراء اللازم اراضاءا لحضرتك يا فندم </t>
  </si>
  <si>
    <t>دي الهداية المتاحة لحضرتك يا فندم و نقدر نتابع العروض من #012# في حالة مفيش هدايا اذا ده المتاح</t>
  </si>
  <si>
    <t>ME</t>
  </si>
  <si>
    <t>اي عرض سواء على التطبيق بيوصل بيه رسالة لو وصل لحضرتك رسالة نصية بالعرض تقدر تشترك عن طريق الكود في الرسالة لو مفيش كود في الرسالة يبقى اشحن فورا في نفس الوقت بنائا على الرسالة اغلب رسائل العروض الخاصة بالباقات بيكون فيه اكود لتفعيل العرض</t>
  </si>
  <si>
    <t xml:space="preserve">العميل جاتله رسالة بالهدية و لما فتح التطبيق الهدية بتكون غير متاحة من خلال التطبيق as per attachment </t>
  </si>
  <si>
    <t>A3det</t>
  </si>
  <si>
    <t xml:space="preserve">الاولوية في التجديد بتكون للباقة اللي ميعاد تجديدها اقرب </t>
  </si>
  <si>
    <t>واضح امامي حضرتك اشتركتي في باقة go بعد شحن الرصيد ولذلك باقة النظام اللي هي فري ماكس اتجددت قبل تفعيل باقة الانترنت go</t>
  </si>
  <si>
    <t>قمت من خلالي بخطوة تنشيطية على الاكواد تقدر تقفل التليفون لمدة 10دقايق و تفتحه تاني و تجرب ولو في اي مشكلة تواصل معنا</t>
  </si>
  <si>
    <t>USSD</t>
  </si>
  <si>
    <t>تم تقديم شكوى لحضرتك على الرقم بحد اقصى 11 صباحا هيتم التواصل مع حضرتك و حل المشكلة يا فندم</t>
  </si>
  <si>
    <t>واضح امامي في شكوى مرفوعة بخصوص مشكلة حضرتك يا فندم و هيتم التواصل في اسرع و اقرب وقت</t>
  </si>
  <si>
    <t>العرض جيه لحضرتك اكتى ؟ شحنت امتى ؟ و الرسالة بتاعت العرض وصلت امتى ؟ لازم الشحن بعد الرسالة ما تيجي مش قبل</t>
  </si>
  <si>
    <t>Pass</t>
  </si>
  <si>
    <t>في حالة عدم وصول رسالة لحضرتك بالعرض او الهدية اذا نقدر نراجع الهداية و العروض من #012#</t>
  </si>
  <si>
    <t xml:space="preserve">استأذنك نلتزم بسياق الشات عشان اقدر اكمل مع حضرتك مع العلم ان الشات مسجل </t>
  </si>
  <si>
    <t>حضرتك اشتركت عن طريق الكود و الهدية اللي بتظهر هي المتاحة لحضرتك من الكود لو كنت حضرتك اشتركت من التطبيق كانت الهدية هتكون كاملة حضرتك كنت اتواصلتي بينا و كنا هنساعد بخصوص اللينك لكن حضرتك استفدتي من الهدية عن طريق الكود</t>
  </si>
  <si>
    <t>sry</t>
  </si>
  <si>
    <t>أحب في البداية أعتذر لحضرتك عن أي إزعاج حصل. وارد إن اللي حصل كان خطأ تقني غير مقصود، ومش تقصير من أي حد بشكل شخصي. إحنا هنا موجودين علشان نساعد حضرتك ونحل الموضوع بأسرع وقت، يهمنا جداً رضا حضرتك، وأي ملاحظة من حضرتك بتساعدنا نطوّر الخدمة للأفضل.</t>
  </si>
  <si>
    <t>يا فندم ده المتاح و بعد اذن حضرتك لو تمام هيتم الاضافه نظرا لعدم اضاعة وقت عملاء اخرى على الانتظار وفي حالة عدم الموافقة اتمنى توضيح استفسار اخر </t>
  </si>
  <si>
    <t>متزعلش يا فندم احنا مع حضرتك لحد ما نحل اي مشكلة لان حضرتك تهمنا</t>
  </si>
  <si>
    <t>اسفتسار حضرتك بخصوص الانترنت المنزلي ؟</t>
  </si>
  <si>
    <t>اللي حصل ان حضرتك اشتركت في عرض تابع لباقة اخرى فا الباقة اللي قبلها اتلغت و بالتالي الضعف الخاص بيها اتلغى</t>
  </si>
  <si>
    <t>inillagble</t>
  </si>
  <si>
    <t>illagble</t>
  </si>
  <si>
    <t>افتح التطبيق في الصفحة الرئيسية و ادخل على ايقونة الاشعارات و اضغط على الهدية و هات اسكرين شوت </t>
  </si>
  <si>
    <t xml:space="preserve">ارضاءا لحضرتك يا فندم هيتم تعويض حضرتك ب 500 ميجا صالحين لاخر اليوم و بعتذر جدا بخصوص اي شئ ضايق حضرتك بخصوص مشكلة الفوازير </t>
  </si>
  <si>
    <t>مع حضرتك دقيقة نظرا لوجود عملاء بالانتظار تقدر تجرب وتقدر تتواصل بينا مرة تانية </t>
  </si>
  <si>
    <t>بعتذر لحضرتك يا فندم استفسار حضرتك هيحتاج مراجعة على انظمة التشغيل و 
اورنج بتقوم بتحديث و تطوير على بعض أنظمة التشغيل لديها وذلك لضمان أفضل مستوى للخدمة 
و ستنتهي بعد 06:00 صباحا ,
 لمتابعة استفسار / طلب حضرتك برجاء المتابعة معانا مرة تانية بعد 06:00 صباحا  , 
و احنا بنشكر سيادتكم على تفهم الامر</t>
  </si>
  <si>
    <t>Wrong Assigning</t>
  </si>
  <si>
    <t>المفروض كانت تترن لادارة معينة وانا رنتها غلط</t>
  </si>
  <si>
    <t>90-100</t>
  </si>
  <si>
    <t>main bucket have the highest priority</t>
  </si>
  <si>
    <t>ORANGE\INS51003</t>
  </si>
  <si>
    <t>Amrkh@012</t>
  </si>
  <si>
    <t>Fawry</t>
  </si>
  <si>
    <t>INS</t>
  </si>
  <si>
    <t>INS51003</t>
  </si>
  <si>
    <t>Aaaazzz12345678@</t>
  </si>
  <si>
    <t>NPG/Siebel</t>
  </si>
  <si>
    <t>واضح انه حضرتك لغيت الباقة اللي عليها العرض و دا عن طريق اشتراكك بعرض ضعف الباقة على باقة تانية و دا ادى الى الغاء الباقة الحالية و بالتالي العرض اصبح غير صالح للاستخدام بعد الغاء الباقة اللي اتضاف معاها لانها اصبحت منتهية الصلاحية</t>
  </si>
  <si>
    <t>"تم تحديث الخدمة الصوتية وإضافة كل المعلومات إللي محتاجينها وإتاحة التحكم في الخدمات بسهولة عن طريق تطبيق آبلكيشن اورنچ والأكواد #100# والخدمة الصوتية 400، وكمان موقعنا www.orange.eg عشان يتم التحكم في الخط بنفسك في أي وقت بكل سهولة. ولو في إستفسار، ممكن توضيحه هنا لمساعدتك."</t>
  </si>
  <si>
    <t>"في أي وقت، نقدر نعرف تفاصيل الإستهلاك أخر 30 يوم ونراجع الرصيد والأرقام إللي كلمناها من خلال تطبيق My Orange مجاناً ومش بيستهلك من الإنترنت إلا عند تحميل التطبيق أو التوجه لصفحات خارج التطبيق ... وده أسهل وكمان بيحافظ على سرية الخط. وبنقدر نعرف تفاصيل الإستهلاك أخر 30 يوم من خلال تطبيق My Orange https://myo.orange.eg/my-consumption"</t>
  </si>
  <si>
    <t>لمعرفة تفاصيل عن إستهلاكك ورصيدك مجاناً؛ ممكن من خلال #100# أو #16# بـ 4 قروش.</t>
  </si>
  <si>
    <t>"حضرتك بتفتح تطبيق ماي اورانج في خانة الرصيد الحالي في تلت نقط جمب كلمة اشحن اضغط عليها و هيظهر تلت اختيارات اختار تفاصيل استهلاك الرصيد بعد كده اضغط على قايمة تفاصيل من اختار نوع الاستهلاك اختار مكالمات و اضغط على تاريخ اليوم و هيظهر لحضرتك "</t>
  </si>
  <si>
    <t>Sheets</t>
  </si>
  <si>
    <t>VAS / SERVICES / 223</t>
  </si>
  <si>
    <t>GSM 110 / SIM&amp;LINE /105</t>
  </si>
  <si>
    <t>VAS / PORT / 25</t>
  </si>
  <si>
    <t>VAS / PORT / 26</t>
  </si>
  <si>
    <t>GSM 110 / SIM&amp;LINE / 61</t>
  </si>
  <si>
    <t>Troubleshooting / INTERNET / 12</t>
  </si>
  <si>
    <t>Troubleshooting / INTERNET / 13</t>
  </si>
  <si>
    <t>Troubleshooting / INTERNET / 14</t>
  </si>
  <si>
    <t>GSM 110 / SIM&amp;LINE / 78</t>
  </si>
  <si>
    <t>VAS / SERVICES / 121</t>
  </si>
  <si>
    <t>VAS / SERVICES / 122</t>
  </si>
  <si>
    <t>VAS / SERVICES / 123</t>
  </si>
  <si>
    <t>VAS / SERVICES / 124</t>
  </si>
  <si>
    <t>VAS / SERVICES / 125</t>
  </si>
  <si>
    <t>VAS / SERVICES / 126</t>
  </si>
  <si>
    <t>VAS / SERVICES / 72</t>
  </si>
  <si>
    <t>VAS / SERVICES / 139</t>
  </si>
  <si>
    <t>Troubleshooting / SIM / 3</t>
  </si>
  <si>
    <t>Troubleshooting / SIM / 4</t>
  </si>
  <si>
    <t>Troubleshooting / SIM / 5</t>
  </si>
  <si>
    <t>Troubleshooting / SIM / 6</t>
  </si>
  <si>
    <t>Troubleshooting / SIM / 7</t>
  </si>
  <si>
    <t>VAS / SERVICES / 112</t>
  </si>
  <si>
    <t>VAS / SERVICES / 211</t>
  </si>
  <si>
    <t>VAS / SERVICES / 212</t>
  </si>
  <si>
    <t>Troubleshooting / INTERNET / 30</t>
  </si>
  <si>
    <t>VAS / SERVICES / 272</t>
  </si>
  <si>
    <t>VAS / SERVICES / 273</t>
  </si>
  <si>
    <t>VAS / SERVICES / 274</t>
  </si>
  <si>
    <t>VAS / SERVICES / 275</t>
  </si>
  <si>
    <t>VAS / SERVICES / 276</t>
  </si>
  <si>
    <t>VAS / SERVICES / 277</t>
  </si>
  <si>
    <t>GSM 110 / SIM&amp;LINE / 65</t>
  </si>
  <si>
    <t>GSM 110 / SIM&amp;LINE / 66</t>
  </si>
  <si>
    <t>GSM 110 / SIM&amp;LINE / 67</t>
  </si>
  <si>
    <t>GSM 110 / SIM&amp;LINE / 35</t>
  </si>
  <si>
    <t>Troubleshooting / Network / 3</t>
  </si>
  <si>
    <t>Troubleshooting / Network / 4</t>
  </si>
  <si>
    <t>Troubleshooting / INTERNET / 16</t>
  </si>
  <si>
    <t>Troubleshooting / INTERNET / 17</t>
  </si>
  <si>
    <r>
      <t xml:space="preserve">Voice Line Default Services
</t>
    </r>
    <r>
      <rPr>
        <b/>
        <sz val="10"/>
        <color rgb="FFC00000"/>
        <rFont val="Helvetica 55 Roman"/>
      </rPr>
      <t>Call Waiting</t>
    </r>
  </si>
  <si>
    <t>خدمة الإنتظار، دي خدمة مجانية نقدر من خلالها نرد على شخص آخر يحاول الوصول لينا من غير ما نفقد المكالمة.
للتفعيل بنكلم #43* وللإلغاء #43#
https://www.orange.eg/ar/services/call-management</t>
  </si>
  <si>
    <r>
      <t xml:space="preserve">Voice Line Default Services
</t>
    </r>
    <r>
      <rPr>
        <b/>
        <sz val="10"/>
        <color rgb="FFC00000"/>
        <rFont val="Helvetica 55 Roman"/>
      </rPr>
      <t>Call Forward</t>
    </r>
  </si>
  <si>
    <r>
      <t xml:space="preserve">Voice Line Default Services
</t>
    </r>
    <r>
      <rPr>
        <b/>
        <sz val="10"/>
        <color rgb="FFC00000"/>
        <rFont val="Helvetica 55 Roman"/>
      </rPr>
      <t>Caller ID</t>
    </r>
  </si>
  <si>
    <t>ممكن نضيف خدمة عدم إظهار رقم الطالب بناء على طلب رسمي من الجهاز القومي لتنظيم الإتصالات
و لمزيد من المعلومات برجاء الإتصال بـ 155
تكلفة المكالمة من أي خط بسعر مكالمة التليفون الأرضي، ومواعيد العمل من الأحد إلى الخميس من 8 ص حتى 10م ويومي الجمعة والسبت من 10 ص حتى 10 م</t>
  </si>
  <si>
    <t>غير متاح الغاء باقة فري ماكس يا فندم لان دي باقة نظام يا فندم في الحالة ممكن نحول لنظام الو</t>
  </si>
  <si>
    <t>ALO</t>
  </si>
  <si>
    <r>
      <t xml:space="preserve">Perm Deact
</t>
    </r>
    <r>
      <rPr>
        <b/>
        <sz val="10"/>
        <color rgb="FFC00000"/>
        <rFont val="Helvetica 55 Roman"/>
      </rPr>
      <t>If a new customer has the dial</t>
    </r>
  </si>
  <si>
    <t>الواضح إن ماتمش إجراء أي عملية مدفوعة أو إستقبال مكالمة لمدة 90 يوم من الخط ده، عشان كده دخل فترة سماح 10 أيام، بعد كده إتوقف الخط لمدة 5 أيام.
وعشان ماتمش التفعيل خلال الفترة دي، تم إلغاء الخط، لكن نقدر نشترى خط جديد ونستفيد بكل العروض الموجودة حالياً.
ممكن نعرف أقرب فرع والمواعيد من هنا
https://backend.orange.eg/deeplinkredirect.html?screen=findstore</t>
  </si>
  <si>
    <r>
      <t xml:space="preserve">Perm Deact
</t>
    </r>
    <r>
      <rPr>
        <b/>
        <sz val="10"/>
        <color rgb="FFC00000"/>
        <rFont val="Helvetica 55 Roman"/>
      </rPr>
      <t>If no new customer has the dial</t>
    </r>
  </si>
  <si>
    <t>الواضح إن ماتمش إجراء أي عملية مدفوعة أو إستقبال مكالمة لمدة 90 يوم من الخط ده، عشان كده دخل فترة سماح 10 أيام، بعد كده إتوقف الخط لمدة 5 أيام.
وعشان ماتمش التفعيل خلال الفترة دي، تم إلغاء الخط، لكن نقدر نشترى خط جديد ونستفيد بكل العروض الموجودة حالياً، أو إعادة التعاقد على الخط مرة تانية.
حابب نوضحلك تفاصيل إعادة التعاقد؟
ممكن نعرف أقرب فرع والمواعيد من هنا
https://backend.orange.eg/deeplinkredirect.html?screen=findstore</t>
  </si>
  <si>
    <t>INS51244</t>
  </si>
  <si>
    <t xml:space="preserve">صباح الخير"" مع حضرتك "عمرو" من أورنچ شات , استفسار حضرتك على نفس الرقم ولا رقم تاني؟ , لو رقم تاني وضحه </t>
  </si>
  <si>
    <t>Orange</t>
  </si>
  <si>
    <t>جالك 5 جيجا هدية شحنة كارت الكبير من اورنچ كاش! ادخل على https://myo.orange.eg/ramadan2026 واختار مجموعتك و كلمهم ببلااااش طول رمضان! القعدة متحلاش غير بـ نت ببلاش!</t>
  </si>
  <si>
    <t>CVM Notifications</t>
  </si>
  <si>
    <t>#012# Recharge Segmented offers</t>
  </si>
  <si>
    <t>MBs</t>
  </si>
  <si>
    <t>IN_PROGRESS</t>
  </si>
  <si>
    <t>CVM redemptions</t>
  </si>
  <si>
    <t>AvG</t>
  </si>
  <si>
    <t>Feb</t>
  </si>
  <si>
    <t>Pulse</t>
  </si>
  <si>
    <t>Target Calculation</t>
  </si>
  <si>
    <t>0000</t>
  </si>
  <si>
    <t>14 per hour</t>
  </si>
  <si>
    <t>Max Need</t>
  </si>
  <si>
    <t>Need2</t>
  </si>
  <si>
    <t>Need</t>
  </si>
  <si>
    <t>WD</t>
  </si>
  <si>
    <t>SUM</t>
  </si>
  <si>
    <t>التعويض هيتم اضافته بعد انتهاء المحادثة اي استفسار اخر ؟</t>
  </si>
  <si>
    <t>Harresment</t>
  </si>
  <si>
    <t xml:space="preserve">تم تقديم طلب لحضرتك بتأجيل الفاتورة يا فندم و هيتم التواصل في خلال 24 ساعة </t>
  </si>
  <si>
    <t>ارضاءا لحضرتك يا فندم هيتم تعويض حضرتك ب 2000 ميجا صالحين لمدة اسبوع و بعتذر جدا بخصوص اي شئ ضايق حضرتك </t>
  </si>
  <si>
    <t>Wait</t>
  </si>
  <si>
    <t>امشي مع خطوات الخدمة الصوتية يا فندم و هتوصلك ل خدمة العملاء ضمن الخطوات يا فندم في الاخر بيقولك للتحدث مع احد ممثلي خدمة العملاء استمع للرسالة الصوتية كاملة و اتاكد من وجود رصيد كافي و اتباع الخطوات</t>
  </si>
  <si>
    <t>OK</t>
  </si>
  <si>
    <t>Monitornig counts</t>
  </si>
  <si>
    <t>Critcal count</t>
  </si>
  <si>
    <t>Non Critcal</t>
  </si>
  <si>
    <t>End User</t>
  </si>
  <si>
    <t>Business Critcal</t>
  </si>
  <si>
    <t>Productivity</t>
  </si>
  <si>
    <t>id</t>
  </si>
  <si>
    <t>title</t>
  </si>
  <si>
    <t>content</t>
  </si>
  <si>
    <t>category</t>
  </si>
  <si>
    <t>Greating</t>
  </si>
  <si>
    <t>support</t>
  </si>
  <si>
    <t>بعتذر لحضرتك يا فندم استفسار حضرتك هيحتاج مراجعة على انظمة التشغيل و اورنج بتقوم بتحديث و تطوير على بعض أنظمة التشغيل لديها وذلك لضمان أفضل مستوى للخدمة و ستنتهي بعد 06:00 صباحا , لمتابعة استفسار / طلب حضرتك برجاء المتابعة معانا مرة تانية بعد 06:00 صباحا  , و احنا بنشكر سيادتكم على تفهم الامر</t>
  </si>
  <si>
    <t xml:space="preserve">حابب اوضح لحضرتك ان خط الداتا بيكون فقط مخصص للداتا و اجهزتها زي الماي فاي و الهوم وايرلسو بالتالي بيكون غير متاح ان احنا نحول الخط من داتا لخط عادي حضرتك تقدر تشرفنا في الفروع و تشتري خط </t>
  </si>
  <si>
    <t>ممكن نساعدك في إختيار نظام أنسب ونحول له، عشان مفيش إلغاء للنظام، ولو عايزين نراجع الأنظمة فهي متاحة في اللينك ده https://shop.orange.eg/ar/tariff-plansو ممكن نختار النظام والمتابعة معانا وإحنا هنوضحلك إزاي نحول له بسهولة.</t>
  </si>
  <si>
    <t>technical</t>
  </si>
  <si>
    <t>ممكن الإستعلام عن طريق #0# أو 400 أو من خلال آبلكيشن اورنچ مجاناً جرب الكود يا فندم و اختار 3:متابعة الاستهلاك و الشحن</t>
  </si>
  <si>
    <t>#012#</t>
  </si>
  <si>
    <t>مع عروض #012# هنشحن ونكسب لحد 100 ضعف الشحنة نت وكمان ممكن نبعت الهدية لـ 5  من حبايبنا عشان نستخدم الـ 5G مع اورنچ هندخل علي عروض 012 من ابلكيشن اورنچ او نطلب #012# قبل الشحن ونعرف الشحنة ال هتكسبنا</t>
  </si>
  <si>
    <t>Applecation</t>
  </si>
  <si>
    <t>بالنسبة للتطبيق برجاء التأكد من التالي: 1-تحديث التطبيق لاخر اصدار 2- التأكد من استخدام التطبيق باتصال بيانات الهاتف من نفس الرقم و اغلاق الواي فاي 3- اغلاق التطبيق و فتحه مرة تانية او تفعيل وضع الطيران و الغائه لو التطبيق غير محدث ممكن نمسحه و نحمله مرة تانية 4- نتأكد من التاريخ و الوقت مظبوط  على التوقيت المحلي</t>
  </si>
  <si>
    <t xml:space="preserve">حضرتك بتفتح تطبيق ماي اورانج في خانة الرصيد الحالي في تلت نقط جمب كلمة اشحن اضغط عليها و هيظهر تلت اختيارات اختار تفاصيل استهلاك الرصيد بعد كده اضغط على قايمة تفاصيل من اختار نوع الاستهلاك اختار مكالمات و اضغط على تاريخ اليوم و هيظهر لحضرتك </t>
  </si>
  <si>
    <t xml:space="preserve">الرسالة دي بتوصل بشكل عشوائي للمشتركين و متاح العرض دا للخطوط اللي بتسجل على التطبيق لاول مرة فقط , حضرتك مش متاح للخط العرض الخاص بتحميل التطبيق لانه حضرتك بتستخدم التطبيق مسبقا و تم الاستفادة من العرض دا </t>
  </si>
  <si>
    <t>ممكن الإستعلام عن طريق #0# أو 400 أو من خلال آبلكيشن اورنچ مجاناًجرب الكود يا فندم و اختار 3:متابعة الاستهلاك و الشحن</t>
  </si>
  <si>
    <t>SRs</t>
  </si>
  <si>
    <t>واضح ان القسم المختص حاول يتواصل بحضرتك مرتين و حضرتك كان الخط مشغول و حابب اوضح ان هيتم التواصل بحضرتك مرة اخرى في اقرب و اسرع وقت</t>
  </si>
  <si>
    <t>Internet</t>
  </si>
  <si>
    <t>Sub ExportCleanJson()
    Dim lastRow As Long
    Dim i As Long
    Dim jsonText As String
    Dim ws As Worksheet
    Set ws = ActiveSheet
    lastRow = ws.Cells(ws.Rows.Count, "A").End(xlUp).Row
    ' بداية JSON
    jsonText = "[" &amp; vbCrLf
    For i = 2 To lastRow
        ' السطر ده مهم: بننضف أي حرف ممكن يخرب JSON
        Dim idVal As String
        Dim titleVal As String
        Dim catVal As String
        Dim contVal As String
        ' بنشيل أي حرف double quote جوه النص عشان يبوظ JSON
        idVal = Replace(ws.Cells(i, 1).Value, """", "\""")
        titleVal = Replace(ws.Cells(i, 2).Value, """", "\""")
        catVal = Replace(ws.Cells(i, 3).Value, """", "\""")
        contVal = Replace(ws.Cells(i, 4).Value, """", "\""")
        ' بنشيل الـ Enter من جوه النص عشان ميقطعش JSON
        contVal = Replace(contVal, vbCrLf, " ")
        contVal = Replace(contVal, vbLf, " ")
        contVal = Replace(contVal, vbCr, " ")
        ' تعديل الترتيب: content قبل category
        jsonText = jsonText &amp; "  {"
        jsonText = jsonText &amp; """id"": """ &amp; idVal &amp; """, "
        jsonText = jsonText &amp; """title"": """ &amp; titleVal &amp; """, "
        jsonText = jsonText &amp; """content"": """ &amp; contVal &amp; """, "
        jsonText = jsonText &amp; """category"": """ &amp; catVal &amp; """"
        jsonText = jsonText &amp; "}"
        ' لو مش آخر سطر، ضيف فاصلة، مفيش فاصلة بعد آخر سطر
        If i &lt; lastRow Then
            jsonText = jsonText &amp; "," &amp; vbCrLf
        Else
            jsonText = jsonText &amp; vbCrLf
        End If
    Next i
    jsonText = jsonText &amp; "]"
    ' نسخ للحافظة بطريقة مضمونة
    Dim obj As Object
    Set obj = CreateObject("htmlfile")
    obj.ParentWindow.ClipboardData.SetData "text", jsonText
    ' رسالة تأكيد
    MsgBox "JSON نضيف 100%!" &amp; vbNewLine &amp; "افتح JSON Formatter أو Notepad واعمل Paste", vbInformation
    ' للتحقق: نشوف أول 100 حرف
    Debug.Print Left(jsonText, 200)
End Sub</t>
  </si>
  <si>
    <t xml:space="preserve">Macro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</si>
</sst>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
  </numFmts>
  <fonts count="57">
    <font>
      <sz val="11"/>
      <color theme="1"/>
      <name val="Calibri"/>
      <family val="2"/>
      <scheme val="minor"/>
    </font>
    <font>
      <sz val="10"/>
      <color theme="1"/>
      <name val="Helvetica 55 Roman"/>
      <family val="2"/>
    </font>
    <font>
      <b/>
      <sz val="10"/>
      <color theme="1"/>
      <name val="Helvetica 55 Roman"/>
      <family val="2"/>
    </font>
    <font>
      <b/>
      <sz val="10"/>
      <color rgb="FFC00000"/>
      <name val="Helvetica 55 Roman"/>
      <family val="2"/>
    </font>
    <font>
      <sz val="10"/>
      <color rgb="FFC00000"/>
      <name val="Helvetica 55 Roman"/>
      <family val="2"/>
    </font>
    <font>
      <b/>
      <sz val="11"/>
      <color theme="0"/>
      <name val="Calibri"/>
      <family val="2"/>
      <scheme val="minor"/>
    </font>
    <font>
      <b/>
      <sz val="10"/>
      <color rgb="FFFF7900"/>
      <name val="Helvetica 55 Roman"/>
      <family val="2"/>
    </font>
    <font>
      <b/>
      <sz val="10"/>
      <color theme="1"/>
      <name val="Helvetica 55 Roman"/>
      <family val="2"/>
    </font>
    <font>
      <sz val="10"/>
      <color theme="1"/>
      <name val="Helvetica 55 Roman"/>
      <family val="2"/>
    </font>
    <font>
      <b/>
      <sz val="18"/>
      <color rgb="FFFF0000"/>
      <name val="Calibri"/>
      <family val="2"/>
      <scheme val="minor"/>
    </font>
    <font>
      <b/>
      <sz val="10"/>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b/>
      <sz val="16"/>
      <color theme="1"/>
      <name val="Calibri"/>
      <family val="2"/>
      <scheme val="minor"/>
    </font>
    <font>
      <b/>
      <sz val="12"/>
      <color theme="1"/>
      <name val="Calibri"/>
      <family val="2"/>
      <scheme val="minor"/>
    </font>
    <font>
      <b/>
      <sz val="10"/>
      <color theme="1" tint="4.9989318521683403E-2"/>
      <name val="Calibri"/>
      <family val="2"/>
      <scheme val="minor"/>
    </font>
    <font>
      <b/>
      <sz val="11"/>
      <color theme="1" tint="4.9989318521683403E-2"/>
      <name val="Calibri"/>
      <family val="2"/>
      <scheme val="minor"/>
    </font>
    <font>
      <b/>
      <strike/>
      <sz val="10"/>
      <color rgb="FFFF0000"/>
      <name val="Calibri"/>
      <family val="2"/>
      <scheme val="minor"/>
    </font>
    <font>
      <b/>
      <strike/>
      <sz val="12"/>
      <color rgb="FFFF0000"/>
      <name val="Calibri"/>
      <family val="2"/>
      <scheme val="minor"/>
    </font>
    <font>
      <strike/>
      <sz val="11"/>
      <color rgb="FFFF0000"/>
      <name val="Calibri"/>
      <family val="2"/>
      <scheme val="minor"/>
    </font>
    <font>
      <sz val="11"/>
      <color theme="1" tint="4.9989318521683403E-2"/>
      <name val="Calibri"/>
      <family val="2"/>
      <scheme val="minor"/>
    </font>
    <font>
      <strike/>
      <sz val="11"/>
      <color theme="1"/>
      <name val="Calibri"/>
      <family val="2"/>
      <scheme val="minor"/>
    </font>
    <font>
      <sz val="11"/>
      <color rgb="FF006100"/>
      <name val="Calibri"/>
      <family val="2"/>
      <scheme val="minor"/>
    </font>
    <font>
      <sz val="11"/>
      <color rgb="FF9C6500"/>
      <name val="Calibri"/>
      <family val="2"/>
      <scheme val="minor"/>
    </font>
    <font>
      <b/>
      <sz val="12"/>
      <color rgb="FFFF7900"/>
      <name val="Helvetica 55 Roman"/>
      <family val="2"/>
    </font>
    <font>
      <b/>
      <sz val="14"/>
      <color theme="9"/>
      <name val="Calibri"/>
      <family val="2"/>
      <scheme val="minor"/>
    </font>
    <font>
      <b/>
      <sz val="12"/>
      <color rgb="FFC00000"/>
      <name val="Calibri"/>
      <family val="2"/>
    </font>
    <font>
      <b/>
      <sz val="14"/>
      <color rgb="FFC00000"/>
      <name val="Helvetica 55 Roman"/>
      <family val="2"/>
    </font>
    <font>
      <sz val="10"/>
      <color rgb="FF333333"/>
      <name val="Arial"/>
      <family val="2"/>
    </font>
    <font>
      <sz val="11"/>
      <color theme="0"/>
      <name val="Calibri"/>
      <family val="2"/>
      <scheme val="minor"/>
    </font>
    <font>
      <b/>
      <sz val="10"/>
      <color theme="0"/>
      <name val="Helvetica 55 Roman"/>
      <family val="2"/>
    </font>
    <font>
      <b/>
      <sz val="12"/>
      <color rgb="FFC00000"/>
      <name val="Helvetica 55 Roman"/>
      <family val="2"/>
    </font>
    <font>
      <b/>
      <sz val="36"/>
      <color theme="3"/>
      <name val="Colonna MT"/>
      <family val="5"/>
    </font>
    <font>
      <b/>
      <sz val="24"/>
      <color rgb="FFFF7900"/>
      <name val="Brush Script MT"/>
      <family val="4"/>
    </font>
    <font>
      <sz val="18"/>
      <color theme="1"/>
      <name val="Georgia"/>
      <family val="1"/>
    </font>
    <font>
      <b/>
      <sz val="14"/>
      <color theme="2" tint="-0.89999084444715716"/>
      <name val="Helvetica 55 Roman"/>
      <family val="2"/>
    </font>
    <font>
      <sz val="12"/>
      <color theme="3" tint="-0.499984740745262"/>
      <name val="Calibri"/>
      <family val="2"/>
      <scheme val="minor"/>
    </font>
    <font>
      <b/>
      <sz val="12"/>
      <color theme="2" tint="-0.89999084444715716"/>
      <name val="Helvetica 55 Roman"/>
      <family val="2"/>
    </font>
    <font>
      <b/>
      <sz val="12"/>
      <color theme="1"/>
      <name val="Helvetica 55 Roman"/>
      <family val="2"/>
    </font>
    <font>
      <u/>
      <sz val="10"/>
      <color theme="10"/>
      <name val="Helvetica 55 Roman"/>
      <family val="2"/>
    </font>
    <font>
      <b/>
      <sz val="20"/>
      <color theme="1"/>
      <name val="Helvetica 55 Roman"/>
      <family val="2"/>
    </font>
    <font>
      <sz val="11"/>
      <color theme="1"/>
      <name val="Calibri"/>
      <family val="2"/>
      <charset val="178"/>
      <scheme val="minor"/>
    </font>
    <font>
      <sz val="10"/>
      <color indexed="8"/>
      <name val="Helvetica 55 Roman"/>
      <family val="2"/>
    </font>
    <font>
      <sz val="10"/>
      <color theme="1"/>
      <name val="Calibri"/>
      <family val="2"/>
      <scheme val="minor"/>
    </font>
    <font>
      <sz val="11"/>
      <color rgb="FF000000"/>
      <name val="Helvetica Neue"/>
    </font>
    <font>
      <b/>
      <sz val="10"/>
      <color theme="1"/>
      <name val="Helvetica 55 Roman"/>
    </font>
    <font>
      <b/>
      <sz val="20"/>
      <color rgb="FFC00000"/>
      <name val="Helvetica 55 Roman"/>
    </font>
    <font>
      <sz val="10"/>
      <color theme="1"/>
      <name val="Helvetica 55 Roman"/>
    </font>
    <font>
      <sz val="10"/>
      <color rgb="FFC00000"/>
      <name val="Helvetica 55 Roman"/>
    </font>
    <font>
      <b/>
      <sz val="10"/>
      <color rgb="FFC00000"/>
      <name val="Helvetica 55 Roman"/>
    </font>
    <font>
      <sz val="11"/>
      <color rgb="FFFF0000"/>
      <name val="Calibri"/>
      <family val="2"/>
      <scheme val="minor"/>
    </font>
    <font>
      <sz val="8"/>
      <color theme="1"/>
      <name val="Calibri"/>
      <family val="2"/>
      <scheme val="minor"/>
    </font>
    <font>
      <sz val="10"/>
      <color rgb="FF29303F"/>
      <name val="Arial"/>
      <family val="2"/>
    </font>
    <font>
      <sz val="11"/>
      <color rgb="FF000000"/>
      <name val="Calibri"/>
      <family val="2"/>
      <scheme val="minor"/>
    </font>
    <font>
      <sz val="17"/>
      <color rgb="FF29303F"/>
      <name val="Calibri"/>
      <family val="2"/>
      <scheme val="minor"/>
    </font>
    <font>
      <sz val="8"/>
      <name val="Calibri"/>
      <family val="2"/>
      <scheme val="minor"/>
    </font>
  </fonts>
  <fills count="35">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3" tint="0.79998168889431442"/>
        <bgColor indexed="64"/>
      </patternFill>
    </fill>
    <fill>
      <patternFill patternType="solid">
        <fgColor rgb="FFFFFF00"/>
        <bgColor indexed="64"/>
      </patternFill>
    </fill>
    <fill>
      <patternFill patternType="solid">
        <fgColor theme="1"/>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rgb="FFFFC000"/>
        <bgColor indexed="64"/>
      </patternFill>
    </fill>
    <fill>
      <patternFill patternType="solid">
        <fgColor theme="1" tint="4.9989318521683403E-2"/>
        <bgColor indexed="64"/>
      </patternFill>
    </fill>
    <fill>
      <patternFill patternType="solid">
        <fgColor rgb="FFC6EFCE"/>
      </patternFill>
    </fill>
    <fill>
      <patternFill patternType="solid">
        <fgColor rgb="FFFFEB9C"/>
      </patternFill>
    </fill>
    <fill>
      <patternFill patternType="solid">
        <fgColor theme="7" tint="0.59999389629810485"/>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theme="8" tint="-0.49998474074526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F7900"/>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4" tint="0.79998168889431442"/>
        <bgColor indexed="64"/>
      </patternFill>
    </fill>
    <fill>
      <patternFill patternType="solid">
        <fgColor theme="6" tint="-0.499984740745262"/>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rgb="FFF5F5F5"/>
        <bgColor indexed="64"/>
      </patternFill>
    </fill>
    <fill>
      <patternFill patternType="solid">
        <fgColor theme="8" tint="-0.249977111117893"/>
        <bgColor indexed="64"/>
      </patternFill>
    </fill>
    <fill>
      <patternFill patternType="solid">
        <fgColor theme="5"/>
        <bgColor indexed="64"/>
      </patternFill>
    </fill>
    <fill>
      <patternFill patternType="solid">
        <fgColor theme="8" tint="0.39997558519241921"/>
        <bgColor indexed="64"/>
      </patternFill>
    </fill>
    <fill>
      <patternFill patternType="solid">
        <fgColor theme="2" tint="-0.49998474074526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double">
        <color rgb="FFFF7900"/>
      </right>
      <top style="double">
        <color rgb="FFFF7900"/>
      </top>
      <bottom style="double">
        <color rgb="FFFF7900"/>
      </bottom>
      <diagonal/>
    </border>
    <border>
      <left style="double">
        <color rgb="FFFF7900"/>
      </left>
      <right style="double">
        <color rgb="FFFF7900"/>
      </right>
      <top style="double">
        <color rgb="FFFF7900"/>
      </top>
      <bottom style="double">
        <color rgb="FFFF7900"/>
      </bottom>
      <diagonal/>
    </border>
    <border>
      <left/>
      <right/>
      <top style="double">
        <color rgb="FFFF7900"/>
      </top>
      <bottom style="double">
        <color rgb="FFFF7900"/>
      </bottom>
      <diagonal/>
    </border>
    <border>
      <left style="medium">
        <color theme="9"/>
      </left>
      <right style="medium">
        <color theme="9"/>
      </right>
      <top style="medium">
        <color theme="9"/>
      </top>
      <bottom style="medium">
        <color theme="9"/>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indexed="64"/>
      </left>
      <right style="thin">
        <color indexed="64"/>
      </right>
      <top style="thin">
        <color indexed="64"/>
      </top>
      <bottom style="thin">
        <color theme="4" tint="0.39997558519241921"/>
      </bottom>
      <diagonal/>
    </border>
    <border>
      <left style="medium">
        <color theme="9"/>
      </left>
      <right/>
      <top style="medium">
        <color theme="9"/>
      </top>
      <bottom style="medium">
        <color theme="9"/>
      </bottom>
      <diagonal/>
    </border>
    <border>
      <left style="thick">
        <color indexed="64"/>
      </left>
      <right style="medium">
        <color theme="9"/>
      </right>
      <top style="medium">
        <color theme="9"/>
      </top>
      <bottom style="medium">
        <color theme="9"/>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style="thin">
        <color indexed="64"/>
      </bottom>
      <diagonal/>
    </border>
    <border>
      <left/>
      <right style="thin">
        <color indexed="64"/>
      </right>
      <top/>
      <bottom/>
      <diagonal/>
    </border>
    <border>
      <left/>
      <right style="medium">
        <color rgb="FF000000"/>
      </right>
      <top/>
      <bottom style="medium">
        <color rgb="FF000000"/>
      </bottom>
      <diagonal/>
    </border>
    <border>
      <left style="thin">
        <color indexed="64"/>
      </left>
      <right style="thick">
        <color indexed="64"/>
      </right>
      <top style="thin">
        <color indexed="64"/>
      </top>
      <bottom style="medium">
        <color indexed="64"/>
      </bottom>
      <diagonal/>
    </border>
    <border>
      <left style="thin">
        <color indexed="64"/>
      </left>
      <right style="thick">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ck">
        <color indexed="64"/>
      </left>
      <right/>
      <top/>
      <bottom style="thin">
        <color indexed="64"/>
      </bottom>
      <diagonal/>
    </border>
    <border>
      <left style="medium">
        <color indexed="64"/>
      </left>
      <right style="medium">
        <color indexed="64"/>
      </right>
      <top style="medium">
        <color indexed="64"/>
      </top>
      <bottom/>
      <diagonal/>
    </border>
    <border>
      <left style="medium">
        <color theme="9"/>
      </left>
      <right style="medium">
        <color theme="9"/>
      </right>
      <top/>
      <bottom style="medium">
        <color theme="9"/>
      </bottom>
      <diagonal/>
    </border>
    <border>
      <left style="medium">
        <color theme="9"/>
      </left>
      <right/>
      <top/>
      <bottom style="medium">
        <color theme="9"/>
      </bottom>
      <diagonal/>
    </border>
    <border>
      <left style="thin">
        <color indexed="64"/>
      </left>
      <right style="thin">
        <color indexed="64"/>
      </right>
      <top/>
      <bottom/>
      <diagonal/>
    </border>
  </borders>
  <cellStyleXfs count="5">
    <xf numFmtId="0" fontId="0" fillId="0" borderId="0"/>
    <xf numFmtId="0" fontId="12" fillId="0" borderId="0" applyNumberFormat="0" applyFill="0" applyBorder="0" applyAlignment="0" applyProtection="0"/>
    <xf numFmtId="0" fontId="23" fillId="11" borderId="0" applyNumberFormat="0" applyBorder="0" applyAlignment="0" applyProtection="0"/>
    <xf numFmtId="0" fontId="24" fillId="12" borderId="0" applyNumberFormat="0" applyBorder="0" applyAlignment="0" applyProtection="0"/>
    <xf numFmtId="0" fontId="42" fillId="0" borderId="0"/>
  </cellStyleXfs>
  <cellXfs count="246">
    <xf numFmtId="0" fontId="0" fillId="0" borderId="0" xfId="0"/>
    <xf numFmtId="0" fontId="0" fillId="0" borderId="0" xfId="0" applyAlignment="1">
      <alignment wrapText="1"/>
    </xf>
    <xf numFmtId="0" fontId="0" fillId="0" borderId="0" xfId="0" applyAlignment="1">
      <alignment horizontal="center" vertical="center" wrapText="1"/>
    </xf>
    <xf numFmtId="0" fontId="2"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readingOrder="1"/>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0" fillId="0" borderId="0" xfId="0" applyAlignment="1">
      <alignment vertical="center" wrapText="1"/>
    </xf>
    <xf numFmtId="0" fontId="5"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5" fillId="8" borderId="1"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9" borderId="10" xfId="0" applyFont="1" applyFill="1" applyBorder="1" applyAlignment="1">
      <alignment horizontal="center" vertical="center" wrapText="1" readingOrder="2"/>
    </xf>
    <xf numFmtId="0" fontId="15" fillId="10" borderId="10" xfId="0" applyFont="1" applyFill="1" applyBorder="1" applyAlignment="1">
      <alignment horizontal="center" vertical="center" wrapText="1" readingOrder="2"/>
    </xf>
    <xf numFmtId="0" fontId="15" fillId="9" borderId="11" xfId="0" applyFont="1" applyFill="1" applyBorder="1" applyAlignment="1">
      <alignment horizontal="center" vertical="center" wrapText="1" readingOrder="2"/>
    </xf>
    <xf numFmtId="0" fontId="11" fillId="9" borderId="12" xfId="0" applyFont="1" applyFill="1" applyBorder="1" applyAlignment="1">
      <alignment horizontal="center" vertical="center" wrapText="1"/>
    </xf>
    <xf numFmtId="0" fontId="16" fillId="0" borderId="3" xfId="0" applyFont="1" applyBorder="1" applyAlignment="1">
      <alignment horizontal="center" vertical="center" wrapText="1"/>
    </xf>
    <xf numFmtId="0" fontId="17" fillId="0" borderId="3" xfId="0" applyFont="1" applyBorder="1" applyAlignment="1">
      <alignment horizontal="center" vertical="center" wrapText="1" readingOrder="2"/>
    </xf>
    <xf numFmtId="0" fontId="17" fillId="10" borderId="3" xfId="0" applyFont="1" applyFill="1" applyBorder="1" applyAlignment="1">
      <alignment horizontal="center" vertical="center" wrapText="1" readingOrder="2"/>
    </xf>
    <xf numFmtId="0" fontId="18" fillId="0" borderId="3" xfId="0" applyFont="1" applyBorder="1" applyAlignment="1">
      <alignment horizontal="center" vertical="center" wrapText="1"/>
    </xf>
    <xf numFmtId="0" fontId="18" fillId="0" borderId="13" xfId="0" applyFont="1" applyBorder="1" applyAlignment="1">
      <alignment horizontal="center" vertical="center" wrapText="1" readingOrder="2"/>
    </xf>
    <xf numFmtId="0" fontId="11" fillId="9" borderId="14"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center" vertical="center" wrapText="1" readingOrder="2"/>
    </xf>
    <xf numFmtId="0" fontId="16" fillId="10" borderId="1" xfId="0" applyFont="1" applyFill="1" applyBorder="1" applyAlignment="1">
      <alignment horizontal="center" vertical="center" wrapText="1" readingOrder="2"/>
    </xf>
    <xf numFmtId="0" fontId="18" fillId="0" borderId="1" xfId="0" applyFont="1" applyBorder="1" applyAlignment="1">
      <alignment horizontal="center" vertical="center" wrapText="1"/>
    </xf>
    <xf numFmtId="0" fontId="18" fillId="0" borderId="15" xfId="0" applyFont="1" applyBorder="1" applyAlignment="1">
      <alignment horizontal="center" vertical="center" wrapText="1" readingOrder="2"/>
    </xf>
    <xf numFmtId="0" fontId="19" fillId="0" borderId="15" xfId="0" applyFont="1" applyBorder="1" applyAlignment="1">
      <alignment horizontal="center" vertical="center" wrapText="1" readingOrder="2"/>
    </xf>
    <xf numFmtId="0" fontId="11" fillId="9" borderId="16" xfId="0" applyFont="1" applyFill="1" applyBorder="1" applyAlignment="1">
      <alignment horizontal="center" vertical="center" wrapText="1"/>
    </xf>
    <xf numFmtId="0" fontId="16" fillId="0" borderId="2" xfId="0" applyFont="1" applyBorder="1" applyAlignment="1">
      <alignment horizontal="center" vertical="center" wrapText="1"/>
    </xf>
    <xf numFmtId="0" fontId="17" fillId="0" borderId="2" xfId="0" applyFont="1" applyBorder="1" applyAlignment="1">
      <alignment horizontal="center" vertical="center" wrapText="1" readingOrder="2"/>
    </xf>
    <xf numFmtId="0" fontId="17" fillId="10" borderId="2" xfId="0" applyFont="1" applyFill="1" applyBorder="1" applyAlignment="1">
      <alignment horizontal="center" vertical="center" wrapText="1" readingOrder="2"/>
    </xf>
    <xf numFmtId="0" fontId="18" fillId="0" borderId="2" xfId="0" applyFont="1" applyBorder="1" applyAlignment="1">
      <alignment horizontal="center" vertical="center" wrapText="1"/>
    </xf>
    <xf numFmtId="0" fontId="18" fillId="0" borderId="17" xfId="0" applyFont="1" applyBorder="1" applyAlignment="1">
      <alignment horizontal="center" vertical="center" wrapText="1" readingOrder="2"/>
    </xf>
    <xf numFmtId="0" fontId="17" fillId="0" borderId="7" xfId="0" applyFont="1" applyBorder="1" applyAlignment="1">
      <alignment horizontal="center" vertical="center" wrapText="1"/>
    </xf>
    <xf numFmtId="0" fontId="17" fillId="0" borderId="7" xfId="0" applyFont="1" applyBorder="1" applyAlignment="1">
      <alignment horizontal="center" vertical="center" wrapText="1" readingOrder="2"/>
    </xf>
    <xf numFmtId="0" fontId="17" fillId="10" borderId="7" xfId="0" applyFont="1" applyFill="1" applyBorder="1" applyAlignment="1">
      <alignment horizontal="center" vertical="center" wrapText="1" readingOrder="2"/>
    </xf>
    <xf numFmtId="0" fontId="20" fillId="0" borderId="7" xfId="0" applyFont="1" applyBorder="1" applyAlignment="1">
      <alignment horizontal="center" vertical="center" wrapText="1"/>
    </xf>
    <xf numFmtId="0" fontId="18" fillId="0" borderId="8" xfId="0" applyFont="1" applyBorder="1" applyAlignment="1">
      <alignment horizontal="center" vertical="center" wrapText="1" readingOrder="2"/>
    </xf>
    <xf numFmtId="0" fontId="21" fillId="0" borderId="1" xfId="0" applyFont="1" applyBorder="1" applyAlignment="1">
      <alignment horizontal="center" vertical="center" wrapText="1"/>
    </xf>
    <xf numFmtId="0" fontId="21" fillId="0" borderId="1" xfId="0" applyFont="1" applyBorder="1" applyAlignment="1">
      <alignment horizontal="center" vertical="center" wrapText="1" readingOrder="2"/>
    </xf>
    <xf numFmtId="0" fontId="21" fillId="10" borderId="1" xfId="0" applyFont="1" applyFill="1" applyBorder="1" applyAlignment="1">
      <alignment horizontal="center" vertical="center" wrapText="1" readingOrder="2"/>
    </xf>
    <xf numFmtId="0" fontId="20" fillId="0" borderId="1" xfId="0" applyFont="1" applyBorder="1" applyAlignment="1">
      <alignment horizontal="center" vertical="center" wrapText="1"/>
    </xf>
    <xf numFmtId="0" fontId="21" fillId="0" borderId="1" xfId="0" applyFont="1" applyBorder="1" applyAlignment="1">
      <alignment vertical="center" wrapText="1"/>
    </xf>
    <xf numFmtId="0" fontId="17" fillId="0" borderId="1" xfId="0" applyFont="1" applyBorder="1" applyAlignment="1">
      <alignment horizontal="center" vertical="center" wrapText="1" readingOrder="2"/>
    </xf>
    <xf numFmtId="0" fontId="17" fillId="10" borderId="1" xfId="0" applyFont="1" applyFill="1" applyBorder="1" applyAlignment="1">
      <alignment horizontal="center" vertical="center" wrapText="1" readingOrder="2"/>
    </xf>
    <xf numFmtId="0" fontId="21" fillId="0" borderId="2" xfId="0" applyFont="1" applyBorder="1" applyAlignment="1">
      <alignment vertical="center" wrapText="1"/>
    </xf>
    <xf numFmtId="0" fontId="20" fillId="0" borderId="2" xfId="0" applyFont="1" applyBorder="1" applyAlignment="1">
      <alignment horizontal="center" vertical="center" wrapText="1"/>
    </xf>
    <xf numFmtId="0" fontId="18" fillId="0" borderId="1" xfId="0" applyFont="1" applyBorder="1" applyAlignment="1">
      <alignment horizontal="center" vertical="center" wrapText="1" readingOrder="2"/>
    </xf>
    <xf numFmtId="0" fontId="21" fillId="0" borderId="10" xfId="0" applyFont="1" applyBorder="1" applyAlignment="1">
      <alignment vertical="center" wrapText="1"/>
    </xf>
    <xf numFmtId="0" fontId="16" fillId="0" borderId="10" xfId="0" applyFont="1" applyBorder="1" applyAlignment="1">
      <alignment horizontal="center" vertical="center" wrapText="1" readingOrder="2"/>
    </xf>
    <xf numFmtId="0" fontId="16" fillId="10" borderId="10" xfId="0" applyFont="1" applyFill="1" applyBorder="1" applyAlignment="1">
      <alignment horizontal="center" vertical="center" wrapText="1" readingOrder="2"/>
    </xf>
    <xf numFmtId="0" fontId="20" fillId="0" borderId="10" xfId="0" applyFont="1" applyBorder="1" applyAlignment="1">
      <alignment horizontal="center" vertical="center" wrapText="1"/>
    </xf>
    <xf numFmtId="0" fontId="18" fillId="0" borderId="11" xfId="0" applyFont="1" applyBorder="1" applyAlignment="1">
      <alignment horizontal="center" vertical="center" wrapText="1" readingOrder="2"/>
    </xf>
    <xf numFmtId="0" fontId="17"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horizontal="right" vertical="center" wrapText="1" readingOrder="2"/>
    </xf>
    <xf numFmtId="0" fontId="17" fillId="10" borderId="1" xfId="0" applyFont="1" applyFill="1" applyBorder="1" applyAlignment="1">
      <alignment horizontal="right" vertical="center" wrapText="1" readingOrder="2"/>
    </xf>
    <xf numFmtId="0" fontId="11" fillId="9" borderId="19" xfId="0" applyFont="1" applyFill="1" applyBorder="1" applyAlignment="1">
      <alignment horizontal="center" vertical="center" wrapText="1"/>
    </xf>
    <xf numFmtId="0" fontId="17" fillId="0" borderId="10" xfId="0" applyFont="1" applyBorder="1" applyAlignment="1">
      <alignment horizontal="center" vertical="center" wrapText="1"/>
    </xf>
    <xf numFmtId="0" fontId="17" fillId="0" borderId="10" xfId="0" applyFont="1" applyBorder="1" applyAlignment="1">
      <alignment horizontal="center" vertical="center" wrapText="1" readingOrder="2"/>
    </xf>
    <xf numFmtId="0" fontId="17" fillId="10" borderId="10" xfId="0" applyFont="1" applyFill="1" applyBorder="1" applyAlignment="1">
      <alignment horizontal="center" vertical="center" wrapText="1" readingOrder="2"/>
    </xf>
    <xf numFmtId="0" fontId="22" fillId="0" borderId="10" xfId="0" applyFont="1" applyBorder="1" applyAlignment="1">
      <alignment vertical="center" wrapText="1"/>
    </xf>
    <xf numFmtId="0" fontId="25" fillId="6" borderId="20" xfId="0" applyFont="1" applyFill="1" applyBorder="1" applyAlignment="1">
      <alignment horizontal="center" vertical="center" wrapText="1"/>
    </xf>
    <xf numFmtId="0" fontId="25" fillId="6" borderId="21" xfId="0" applyFont="1" applyFill="1" applyBorder="1" applyAlignment="1">
      <alignment horizontal="center" vertical="center" wrapText="1"/>
    </xf>
    <xf numFmtId="0" fontId="1" fillId="0" borderId="20" xfId="0" applyFont="1" applyBorder="1" applyAlignment="1">
      <alignment horizontal="center" vertical="center" wrapText="1"/>
    </xf>
    <xf numFmtId="0" fontId="1" fillId="0" borderId="20" xfId="0" applyFont="1" applyBorder="1" applyAlignment="1">
      <alignment horizontal="center" vertical="center"/>
    </xf>
    <xf numFmtId="0" fontId="2" fillId="0" borderId="1" xfId="0" applyFont="1" applyBorder="1" applyAlignment="1">
      <alignment horizontal="center" vertical="center" wrapText="1"/>
    </xf>
    <xf numFmtId="0" fontId="1" fillId="3" borderId="5" xfId="0" applyFont="1" applyFill="1" applyBorder="1" applyAlignment="1">
      <alignment horizontal="center" vertical="center" wrapText="1"/>
    </xf>
    <xf numFmtId="0" fontId="26" fillId="6" borderId="23" xfId="0" applyFont="1" applyFill="1" applyBorder="1" applyAlignment="1">
      <alignment horizontal="center" vertical="center" wrapText="1"/>
    </xf>
    <xf numFmtId="0" fontId="24" fillId="12" borderId="0" xfId="3" applyAlignment="1">
      <alignment horizontal="center" vertical="center"/>
    </xf>
    <xf numFmtId="0" fontId="23" fillId="11" borderId="0" xfId="2" applyAlignment="1">
      <alignment horizontal="center" vertical="center"/>
    </xf>
    <xf numFmtId="0" fontId="0" fillId="4" borderId="0" xfId="0" applyFill="1" applyAlignment="1">
      <alignment horizontal="center" vertical="center"/>
    </xf>
    <xf numFmtId="2" fontId="0" fillId="0" borderId="1" xfId="0" applyNumberFormat="1" applyBorder="1" applyAlignment="1">
      <alignment horizontal="center"/>
    </xf>
    <xf numFmtId="2" fontId="0" fillId="0" borderId="1" xfId="0" applyNumberFormat="1" applyBorder="1" applyAlignment="1">
      <alignment horizontal="center" vertical="center"/>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9" borderId="1" xfId="0" applyFill="1" applyBorder="1" applyAlignment="1">
      <alignment horizontal="center" vertical="center"/>
    </xf>
    <xf numFmtId="0" fontId="27" fillId="0" borderId="1" xfId="0" applyFont="1" applyBorder="1" applyAlignment="1">
      <alignment horizontal="center" vertical="center" wrapText="1" readingOrder="2"/>
    </xf>
    <xf numFmtId="0" fontId="12" fillId="0" borderId="1" xfId="1" applyBorder="1" applyAlignment="1">
      <alignment horizontal="center" vertical="center" wrapText="1"/>
    </xf>
    <xf numFmtId="0" fontId="0" fillId="0" borderId="1" xfId="0" applyBorder="1" applyAlignment="1">
      <alignment horizontal="center" vertical="center" wrapText="1"/>
    </xf>
    <xf numFmtId="0" fontId="1" fillId="3" borderId="1" xfId="0" applyFont="1" applyFill="1" applyBorder="1" applyAlignment="1">
      <alignment horizontal="center" vertical="center" wrapText="1" readingOrder="2"/>
    </xf>
    <xf numFmtId="0" fontId="11" fillId="13" borderId="1" xfId="0" applyFont="1" applyFill="1" applyBorder="1" applyAlignment="1">
      <alignment horizontal="center" vertical="center" wrapText="1"/>
    </xf>
    <xf numFmtId="0" fontId="29" fillId="0" borderId="0" xfId="0" applyFont="1"/>
    <xf numFmtId="0" fontId="0" fillId="0" borderId="0" xfId="0" applyAlignment="1">
      <alignment horizontal="center"/>
    </xf>
    <xf numFmtId="0" fontId="2" fillId="20" borderId="1" xfId="0" applyFont="1" applyFill="1" applyBorder="1" applyAlignment="1">
      <alignment horizontal="center" vertical="center" wrapText="1"/>
    </xf>
    <xf numFmtId="0" fontId="0" fillId="19" borderId="1" xfId="0" applyFill="1" applyBorder="1" applyAlignment="1">
      <alignment horizontal="center" vertical="center"/>
    </xf>
    <xf numFmtId="0" fontId="0" fillId="18" borderId="1" xfId="0" applyFill="1" applyBorder="1" applyAlignment="1">
      <alignment horizontal="center" vertical="center"/>
    </xf>
    <xf numFmtId="0" fontId="0" fillId="16" borderId="1" xfId="0" applyFill="1" applyBorder="1" applyAlignment="1">
      <alignment horizontal="center" vertical="center"/>
    </xf>
    <xf numFmtId="0" fontId="0" fillId="0" borderId="1" xfId="0" applyBorder="1" applyAlignment="1">
      <alignment horizontal="center"/>
    </xf>
    <xf numFmtId="0" fontId="30" fillId="14" borderId="1" xfId="0" applyFont="1" applyFill="1" applyBorder="1" applyAlignment="1">
      <alignment horizontal="center"/>
    </xf>
    <xf numFmtId="0" fontId="0" fillId="19" borderId="1" xfId="0" applyFill="1" applyBorder="1" applyAlignment="1">
      <alignment horizontal="center"/>
    </xf>
    <xf numFmtId="0" fontId="30" fillId="17" borderId="1" xfId="0" applyFont="1" applyFill="1" applyBorder="1" applyAlignment="1">
      <alignment horizontal="center"/>
    </xf>
    <xf numFmtId="164" fontId="0" fillId="0" borderId="1" xfId="0" applyNumberFormat="1" applyBorder="1" applyAlignment="1">
      <alignment horizontal="center"/>
    </xf>
    <xf numFmtId="0" fontId="12" fillId="0" borderId="1" xfId="1" applyBorder="1" applyAlignment="1">
      <alignment horizontal="center" vertical="center"/>
    </xf>
    <xf numFmtId="0" fontId="0" fillId="22" borderId="0" xfId="0" applyFill="1"/>
    <xf numFmtId="0" fontId="36" fillId="20" borderId="1" xfId="0" applyFont="1" applyFill="1" applyBorder="1" applyAlignment="1">
      <alignment horizontal="center" vertical="center"/>
    </xf>
    <xf numFmtId="0" fontId="38" fillId="20" borderId="1" xfId="0" applyFont="1" applyFill="1" applyBorder="1" applyAlignment="1">
      <alignment horizontal="center" vertical="center"/>
    </xf>
    <xf numFmtId="0" fontId="15" fillId="0" borderId="1" xfId="0" applyFont="1" applyBorder="1" applyAlignment="1">
      <alignment horizontal="center" vertical="center"/>
    </xf>
    <xf numFmtId="0" fontId="39" fillId="2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0" fontId="40" fillId="0" borderId="1" xfId="1" applyFont="1" applyBorder="1" applyAlignment="1">
      <alignment horizontal="center" vertical="center" wrapText="1"/>
    </xf>
    <xf numFmtId="0" fontId="40" fillId="0" borderId="1" xfId="1" applyFont="1" applyBorder="1" applyAlignment="1">
      <alignment horizontal="center" vertical="center"/>
    </xf>
    <xf numFmtId="0" fontId="1" fillId="3" borderId="41" xfId="0" applyFont="1" applyFill="1" applyBorder="1" applyAlignment="1">
      <alignment horizontal="center" vertical="center" wrapText="1"/>
    </xf>
    <xf numFmtId="0" fontId="1" fillId="22" borderId="0" xfId="0" applyFont="1" applyFill="1"/>
    <xf numFmtId="0" fontId="41" fillId="0" borderId="0" xfId="0" applyFont="1" applyAlignment="1">
      <alignment vertical="center"/>
    </xf>
    <xf numFmtId="0" fontId="2" fillId="24" borderId="1" xfId="0" applyFont="1" applyFill="1" applyBorder="1" applyAlignment="1">
      <alignment horizontal="center" vertical="center"/>
    </xf>
    <xf numFmtId="0" fontId="2" fillId="24" borderId="4" xfId="0" applyFont="1" applyFill="1" applyBorder="1" applyAlignment="1">
      <alignment horizontal="center" vertical="center"/>
    </xf>
    <xf numFmtId="0" fontId="43" fillId="0" borderId="1" xfId="4" applyFont="1" applyBorder="1" applyAlignment="1">
      <alignment horizontal="center" vertical="center" wrapText="1"/>
    </xf>
    <xf numFmtId="0" fontId="1" fillId="0" borderId="0" xfId="0" applyFont="1"/>
    <xf numFmtId="0" fontId="1" fillId="0" borderId="3" xfId="0" applyFont="1" applyBorder="1" applyAlignment="1">
      <alignment horizontal="center" vertical="center"/>
    </xf>
    <xf numFmtId="0" fontId="1" fillId="0" borderId="0" xfId="0" applyFont="1" applyAlignment="1">
      <alignment horizontal="center"/>
    </xf>
    <xf numFmtId="0" fontId="44" fillId="0" borderId="1" xfId="0" applyFont="1" applyBorder="1" applyAlignment="1">
      <alignment horizontal="center" wrapText="1"/>
    </xf>
    <xf numFmtId="0" fontId="45" fillId="0" borderId="0" xfId="0" applyFont="1"/>
    <xf numFmtId="0" fontId="45" fillId="0" borderId="0" xfId="0" applyFont="1" applyAlignment="1">
      <alignment wrapText="1"/>
    </xf>
    <xf numFmtId="0" fontId="5" fillId="8" borderId="3" xfId="0" applyFont="1" applyFill="1" applyBorder="1" applyAlignment="1">
      <alignment horizontal="center" vertical="center" wrapText="1"/>
    </xf>
    <xf numFmtId="0" fontId="0" fillId="25" borderId="1" xfId="0" applyFill="1" applyBorder="1" applyAlignment="1">
      <alignment horizontal="center"/>
    </xf>
    <xf numFmtId="0" fontId="0" fillId="25" borderId="1" xfId="0" applyFill="1" applyBorder="1" applyAlignment="1">
      <alignment horizontal="center" vertical="center"/>
    </xf>
    <xf numFmtId="0" fontId="46" fillId="26" borderId="1" xfId="0" applyFont="1" applyFill="1" applyBorder="1" applyAlignment="1">
      <alignment horizontal="center" vertical="center" wrapText="1"/>
    </xf>
    <xf numFmtId="0" fontId="48" fillId="3" borderId="1" xfId="0" applyFont="1" applyFill="1" applyBorder="1" applyAlignment="1">
      <alignment horizontal="center" vertical="center" wrapText="1" readingOrder="1"/>
    </xf>
    <xf numFmtId="0" fontId="46" fillId="3" borderId="1" xfId="0" applyFont="1" applyFill="1" applyBorder="1" applyAlignment="1">
      <alignment horizontal="center" vertical="center" wrapText="1"/>
    </xf>
    <xf numFmtId="0" fontId="48" fillId="3" borderId="1" xfId="0" applyFont="1" applyFill="1" applyBorder="1" applyAlignment="1">
      <alignment horizontal="center" vertical="center" wrapText="1"/>
    </xf>
    <xf numFmtId="0" fontId="48" fillId="0" borderId="1" xfId="0" applyFont="1" applyBorder="1" applyAlignment="1">
      <alignment horizontal="center" vertical="center" wrapText="1"/>
    </xf>
    <xf numFmtId="0" fontId="5" fillId="27" borderId="1" xfId="0" applyFont="1" applyFill="1" applyBorder="1" applyAlignment="1">
      <alignment horizontal="center" vertical="center" wrapText="1"/>
    </xf>
    <xf numFmtId="0" fontId="26" fillId="6" borderId="42" xfId="0" applyFont="1" applyFill="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4" xfId="0" applyFont="1" applyBorder="1" applyAlignment="1">
      <alignment horizontal="center" vertical="center" wrapText="1"/>
    </xf>
    <xf numFmtId="0" fontId="26" fillId="6" borderId="43" xfId="0" applyFont="1" applyFill="1" applyBorder="1" applyAlignment="1">
      <alignment horizontal="center" vertical="center" wrapText="1"/>
    </xf>
    <xf numFmtId="0" fontId="5" fillId="17" borderId="44" xfId="0" applyFont="1" applyFill="1" applyBorder="1" applyAlignment="1">
      <alignment horizontal="center" vertical="center" wrapText="1"/>
    </xf>
    <xf numFmtId="0" fontId="5" fillId="14" borderId="44" xfId="0" applyFont="1" applyFill="1" applyBorder="1" applyAlignment="1">
      <alignment horizontal="center" vertical="center" wrapText="1"/>
    </xf>
    <xf numFmtId="0" fontId="5" fillId="15" borderId="44" xfId="0" applyFont="1" applyFill="1" applyBorder="1" applyAlignment="1">
      <alignment horizontal="center" vertical="center" wrapText="1"/>
    </xf>
    <xf numFmtId="0" fontId="5" fillId="7" borderId="44" xfId="0" applyFont="1" applyFill="1" applyBorder="1" applyAlignment="1">
      <alignment horizontal="center" vertical="center" wrapText="1"/>
    </xf>
    <xf numFmtId="0" fontId="5" fillId="7" borderId="46" xfId="0" applyFont="1" applyFill="1" applyBorder="1" applyAlignment="1">
      <alignment horizontal="center" vertical="center" wrapText="1"/>
    </xf>
    <xf numFmtId="0" fontId="5" fillId="28" borderId="1"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1" fillId="6" borderId="1" xfId="0" applyFont="1" applyFill="1" applyBorder="1" applyAlignment="1">
      <alignment horizontal="center"/>
    </xf>
    <xf numFmtId="0" fontId="5" fillId="29" borderId="1" xfId="0" applyFont="1" applyFill="1" applyBorder="1" applyAlignment="1">
      <alignment horizontal="center" vertical="center" wrapText="1"/>
    </xf>
    <xf numFmtId="0" fontId="51" fillId="0" borderId="0" xfId="0" applyFont="1"/>
    <xf numFmtId="0" fontId="9" fillId="5" borderId="1" xfId="0" applyFont="1" applyFill="1" applyBorder="1" applyAlignment="1">
      <alignment horizontal="center" vertical="center" wrapText="1"/>
    </xf>
    <xf numFmtId="0" fontId="51" fillId="6" borderId="0" xfId="0" applyFont="1" applyFill="1" applyAlignment="1">
      <alignment horizontal="center" vertical="center"/>
    </xf>
    <xf numFmtId="0" fontId="53" fillId="0" borderId="0" xfId="0" applyFont="1"/>
    <xf numFmtId="0" fontId="30" fillId="17" borderId="4" xfId="0" applyFont="1" applyFill="1" applyBorder="1" applyAlignment="1">
      <alignment horizontal="center"/>
    </xf>
    <xf numFmtId="0" fontId="0" fillId="0" borderId="0" xfId="0" applyAlignment="1">
      <alignment horizontal="center" vertical="center"/>
    </xf>
    <xf numFmtId="0" fontId="54" fillId="0" borderId="0" xfId="0" applyFont="1" applyAlignment="1">
      <alignment horizontal="center" vertical="center"/>
    </xf>
    <xf numFmtId="0" fontId="54" fillId="0" borderId="0" xfId="0" applyFont="1" applyAlignment="1">
      <alignment horizontal="center" vertical="center" wrapText="1"/>
    </xf>
    <xf numFmtId="0" fontId="53" fillId="30" borderId="48" xfId="0" applyFont="1" applyFill="1" applyBorder="1" applyAlignment="1">
      <alignment horizontal="left" vertical="center"/>
    </xf>
    <xf numFmtId="22" fontId="53" fillId="30" borderId="48" xfId="0" applyNumberFormat="1" applyFont="1" applyFill="1" applyBorder="1" applyAlignment="1">
      <alignment horizontal="left" vertical="center"/>
    </xf>
    <xf numFmtId="47" fontId="53" fillId="30" borderId="48" xfId="0" applyNumberFormat="1" applyFont="1" applyFill="1" applyBorder="1" applyAlignment="1">
      <alignment horizontal="left" vertical="center"/>
    </xf>
    <xf numFmtId="0" fontId="55" fillId="0" borderId="0" xfId="0" applyFont="1" applyAlignment="1">
      <alignment vertical="center"/>
    </xf>
    <xf numFmtId="0" fontId="5" fillId="7" borderId="45" xfId="0" applyFont="1" applyFill="1" applyBorder="1" applyAlignment="1">
      <alignment horizontal="center" vertical="center" wrapText="1"/>
    </xf>
    <xf numFmtId="0" fontId="5" fillId="8" borderId="2" xfId="0" applyFont="1" applyFill="1" applyBorder="1" applyAlignment="1">
      <alignment horizontal="center" vertical="center" wrapText="1"/>
    </xf>
    <xf numFmtId="165" fontId="0" fillId="0" borderId="0" xfId="0" applyNumberFormat="1"/>
    <xf numFmtId="0" fontId="30" fillId="28" borderId="1" xfId="0" applyFont="1" applyFill="1" applyBorder="1" applyAlignment="1">
      <alignment horizontal="center" vertical="center"/>
    </xf>
    <xf numFmtId="1" fontId="30" fillId="28" borderId="1" xfId="0" applyNumberFormat="1" applyFont="1" applyFill="1" applyBorder="1" applyAlignment="1">
      <alignment horizontal="center" vertical="center"/>
    </xf>
    <xf numFmtId="49" fontId="51" fillId="6" borderId="0" xfId="0" applyNumberFormat="1" applyFont="1" applyFill="1" applyAlignment="1">
      <alignment horizontal="center" vertical="center"/>
    </xf>
    <xf numFmtId="0" fontId="52" fillId="0" borderId="1" xfId="0" applyFont="1" applyBorder="1"/>
    <xf numFmtId="165" fontId="52" fillId="0" borderId="1" xfId="0" applyNumberFormat="1" applyFont="1" applyBorder="1"/>
    <xf numFmtId="0" fontId="0" fillId="21" borderId="1" xfId="0" applyFill="1" applyBorder="1" applyAlignment="1">
      <alignment horizontal="center"/>
    </xf>
    <xf numFmtId="0" fontId="0" fillId="0" borderId="1" xfId="0" applyBorder="1"/>
    <xf numFmtId="0" fontId="30" fillId="28" borderId="5" xfId="0" applyFont="1" applyFill="1" applyBorder="1" applyAlignment="1">
      <alignment horizontal="center" vertical="center"/>
    </xf>
    <xf numFmtId="0" fontId="10" fillId="0" borderId="49" xfId="0" applyFont="1" applyBorder="1" applyAlignment="1">
      <alignment horizontal="center" vertical="center" wrapText="1"/>
    </xf>
    <xf numFmtId="0" fontId="10" fillId="0" borderId="50" xfId="0" applyFont="1" applyBorder="1" applyAlignment="1">
      <alignment horizontal="center" vertical="center" wrapText="1"/>
    </xf>
    <xf numFmtId="0" fontId="30" fillId="31" borderId="27" xfId="0" applyFont="1" applyFill="1" applyBorder="1" applyAlignment="1">
      <alignment horizontal="center" vertical="center" wrapText="1"/>
    </xf>
    <xf numFmtId="0" fontId="5" fillId="32" borderId="1" xfId="0" applyFont="1" applyFill="1" applyBorder="1" applyAlignment="1">
      <alignment horizontal="center" vertical="center" wrapText="1"/>
    </xf>
    <xf numFmtId="0" fontId="5" fillId="7" borderId="52"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51" xfId="0" applyFont="1" applyBorder="1" applyAlignment="1">
      <alignment horizontal="center" vertical="center" wrapText="1"/>
    </xf>
    <xf numFmtId="0" fontId="11" fillId="33" borderId="1" xfId="0" applyFont="1" applyFill="1" applyBorder="1" applyAlignment="1">
      <alignment horizontal="center" vertical="center" wrapText="1"/>
    </xf>
    <xf numFmtId="0" fontId="5" fillId="34" borderId="44" xfId="0" applyFont="1" applyFill="1" applyBorder="1" applyAlignment="1">
      <alignment horizontal="center" vertical="center" wrapText="1"/>
    </xf>
    <xf numFmtId="0" fontId="0" fillId="0" borderId="4" xfId="0" applyBorder="1" applyAlignment="1">
      <alignment horizontal="center"/>
    </xf>
    <xf numFmtId="0" fontId="30" fillId="17" borderId="53" xfId="0" applyFont="1" applyFill="1" applyBorder="1" applyAlignment="1">
      <alignment horizontal="center"/>
    </xf>
    <xf numFmtId="1" fontId="0" fillId="0" borderId="1" xfId="0" applyNumberFormat="1" applyBorder="1" applyAlignment="1">
      <alignment horizontal="center" vertical="center"/>
    </xf>
    <xf numFmtId="0" fontId="30" fillId="17" borderId="0" xfId="0" applyFont="1" applyFill="1" applyAlignment="1">
      <alignment horizontal="center"/>
    </xf>
    <xf numFmtId="1" fontId="0" fillId="0" borderId="4" xfId="0" applyNumberFormat="1" applyBorder="1" applyAlignment="1">
      <alignment horizontal="center"/>
    </xf>
    <xf numFmtId="9" fontId="0" fillId="0" borderId="1" xfId="0" applyNumberFormat="1" applyBorder="1" applyAlignment="1">
      <alignment horizontal="center" vertical="center"/>
    </xf>
    <xf numFmtId="0" fontId="5" fillId="7" borderId="45" xfId="0" applyFont="1" applyFill="1" applyBorder="1" applyAlignment="1">
      <alignment horizontal="center" vertical="center" wrapText="1"/>
    </xf>
    <xf numFmtId="0" fontId="5" fillId="7" borderId="52"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30" fillId="31" borderId="27" xfId="0" applyFont="1" applyFill="1" applyBorder="1" applyAlignment="1">
      <alignment horizontal="center" vertical="center" wrapText="1"/>
    </xf>
    <xf numFmtId="0" fontId="30" fillId="31" borderId="47"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center" wrapText="1"/>
    </xf>
    <xf numFmtId="0" fontId="9" fillId="5" borderId="4"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30" fillId="17" borderId="1" xfId="0" applyFont="1" applyFill="1" applyBorder="1" applyAlignment="1">
      <alignment horizontal="center"/>
    </xf>
    <xf numFmtId="0" fontId="25" fillId="0" borderId="22" xfId="0" applyFont="1" applyBorder="1" applyAlignment="1">
      <alignment horizontal="center" vertical="center" wrapText="1"/>
    </xf>
    <xf numFmtId="0" fontId="25" fillId="0" borderId="20" xfId="0" applyFont="1" applyBorder="1" applyAlignment="1">
      <alignment horizontal="center" vertical="center" wrapText="1"/>
    </xf>
    <xf numFmtId="0" fontId="40" fillId="0" borderId="4" xfId="1" applyFont="1" applyBorder="1" applyAlignment="1">
      <alignment horizontal="center" vertical="center" wrapText="1"/>
    </xf>
    <xf numFmtId="0" fontId="40" fillId="0" borderId="5" xfId="1" applyFont="1" applyBorder="1" applyAlignment="1">
      <alignment horizontal="center" vertical="center" wrapText="1"/>
    </xf>
    <xf numFmtId="0" fontId="28" fillId="5" borderId="1" xfId="0" applyFont="1" applyFill="1" applyBorder="1" applyAlignment="1">
      <alignment horizontal="center" vertical="center"/>
    </xf>
    <xf numFmtId="0" fontId="40" fillId="0" borderId="1" xfId="1" applyFont="1" applyBorder="1" applyAlignment="1">
      <alignment horizontal="center" vertical="center" wrapText="1"/>
    </xf>
    <xf numFmtId="0" fontId="39" fillId="23" borderId="4" xfId="0" applyFont="1" applyFill="1" applyBorder="1" applyAlignment="1">
      <alignment horizontal="center" vertical="center" wrapText="1"/>
    </xf>
    <xf numFmtId="0" fontId="39" fillId="23" borderId="5" xfId="0" applyFont="1" applyFill="1" applyBorder="1" applyAlignment="1">
      <alignment horizontal="center" vertical="center" wrapText="1"/>
    </xf>
    <xf numFmtId="0" fontId="32" fillId="5" borderId="25" xfId="0" applyFont="1" applyFill="1" applyBorder="1" applyAlignment="1">
      <alignment horizontal="center" vertical="center"/>
    </xf>
    <xf numFmtId="0" fontId="32" fillId="5" borderId="26" xfId="0" applyFont="1" applyFill="1" applyBorder="1" applyAlignment="1">
      <alignment horizontal="center" vertical="center"/>
    </xf>
    <xf numFmtId="0" fontId="32" fillId="5" borderId="27" xfId="0" applyFont="1" applyFill="1" applyBorder="1" applyAlignment="1">
      <alignment horizontal="center" vertical="center"/>
    </xf>
    <xf numFmtId="0" fontId="32" fillId="5" borderId="28" xfId="0" applyFont="1" applyFill="1" applyBorder="1" applyAlignment="1">
      <alignment horizontal="center" vertical="center"/>
    </xf>
    <xf numFmtId="0" fontId="32" fillId="5" borderId="29" xfId="0" applyFont="1" applyFill="1" applyBorder="1" applyAlignment="1">
      <alignment horizontal="center" vertical="center"/>
    </xf>
    <xf numFmtId="0" fontId="32" fillId="5" borderId="24" xfId="0" applyFont="1" applyFill="1" applyBorder="1" applyAlignment="1">
      <alignment horizontal="center" vertical="center"/>
    </xf>
    <xf numFmtId="0" fontId="33" fillId="0" borderId="30" xfId="0" applyFont="1" applyBorder="1" applyAlignment="1">
      <alignment horizontal="center" vertical="center"/>
    </xf>
    <xf numFmtId="0" fontId="33" fillId="0" borderId="31" xfId="0" applyFont="1" applyBorder="1" applyAlignment="1">
      <alignment horizontal="center" vertical="center"/>
    </xf>
    <xf numFmtId="0" fontId="33" fillId="0" borderId="32" xfId="0" applyFont="1" applyBorder="1" applyAlignment="1">
      <alignment horizontal="center" vertical="center"/>
    </xf>
    <xf numFmtId="0" fontId="33" fillId="0" borderId="33" xfId="0" applyFont="1" applyBorder="1" applyAlignment="1">
      <alignment horizontal="center" vertical="center"/>
    </xf>
    <xf numFmtId="0" fontId="33" fillId="0" borderId="0" xfId="0" applyFont="1" applyAlignment="1">
      <alignment horizontal="center" vertical="center"/>
    </xf>
    <xf numFmtId="0" fontId="33" fillId="0" borderId="34" xfId="0" applyFont="1" applyBorder="1" applyAlignment="1">
      <alignment horizontal="center" vertical="center"/>
    </xf>
    <xf numFmtId="0" fontId="33" fillId="0" borderId="35" xfId="0" applyFont="1" applyBorder="1" applyAlignment="1">
      <alignment horizontal="center" vertical="center"/>
    </xf>
    <xf numFmtId="0" fontId="33" fillId="0" borderId="36" xfId="0" applyFont="1" applyBorder="1" applyAlignment="1">
      <alignment horizontal="center" vertical="center"/>
    </xf>
    <xf numFmtId="0" fontId="33" fillId="0" borderId="37" xfId="0" applyFont="1" applyBorder="1" applyAlignment="1">
      <alignment horizontal="center" vertical="center"/>
    </xf>
    <xf numFmtId="0" fontId="34" fillId="0" borderId="30" xfId="0" applyFont="1" applyBorder="1" applyAlignment="1">
      <alignment horizontal="center" vertical="center"/>
    </xf>
    <xf numFmtId="0" fontId="34" fillId="0" borderId="31" xfId="0" applyFont="1" applyBorder="1" applyAlignment="1">
      <alignment horizontal="center" vertical="center"/>
    </xf>
    <xf numFmtId="0" fontId="34" fillId="0" borderId="32" xfId="0" applyFont="1" applyBorder="1" applyAlignment="1">
      <alignment horizontal="center" vertical="center"/>
    </xf>
    <xf numFmtId="0" fontId="34" fillId="0" borderId="33" xfId="0" applyFont="1" applyBorder="1" applyAlignment="1">
      <alignment horizontal="center" vertical="center"/>
    </xf>
    <xf numFmtId="0" fontId="34" fillId="0" borderId="0" xfId="0" applyFont="1" applyAlignment="1">
      <alignment horizontal="center" vertical="center"/>
    </xf>
    <xf numFmtId="0" fontId="34" fillId="0" borderId="34" xfId="0" applyFont="1" applyBorder="1" applyAlignment="1">
      <alignment horizontal="center" vertical="center"/>
    </xf>
    <xf numFmtId="0" fontId="34" fillId="0" borderId="35" xfId="0" applyFont="1" applyBorder="1" applyAlignment="1">
      <alignment horizontal="center" vertical="center"/>
    </xf>
    <xf numFmtId="0" fontId="34" fillId="0" borderId="36" xfId="0" applyFont="1" applyBorder="1" applyAlignment="1">
      <alignment horizontal="center" vertical="center"/>
    </xf>
    <xf numFmtId="0" fontId="34" fillId="0" borderId="37" xfId="0" applyFont="1" applyBorder="1" applyAlignment="1">
      <alignment horizontal="center" vertical="center"/>
    </xf>
    <xf numFmtId="0" fontId="35" fillId="0" borderId="38" xfId="0" applyFont="1" applyBorder="1" applyAlignment="1">
      <alignment horizontal="center" vertical="center"/>
    </xf>
    <xf numFmtId="0" fontId="35" fillId="0" borderId="39" xfId="0" applyFont="1" applyBorder="1" applyAlignment="1">
      <alignment horizontal="center" vertical="center"/>
    </xf>
    <xf numFmtId="0" fontId="35" fillId="0" borderId="40" xfId="0" applyFont="1" applyBorder="1" applyAlignment="1">
      <alignment horizontal="center" vertical="center"/>
    </xf>
    <xf numFmtId="0" fontId="37" fillId="0" borderId="4" xfId="0" applyFont="1" applyBorder="1" applyAlignment="1">
      <alignment horizontal="center" vertical="center" wrapText="1"/>
    </xf>
    <xf numFmtId="0" fontId="37" fillId="0" borderId="5" xfId="0" applyFont="1" applyBorder="1" applyAlignment="1">
      <alignment horizontal="center" vertical="center" wrapText="1"/>
    </xf>
    <xf numFmtId="0" fontId="13" fillId="9" borderId="6"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1" fillId="9" borderId="18" xfId="0" applyFont="1" applyFill="1" applyBorder="1" applyAlignment="1">
      <alignment horizontal="center" vertical="center" wrapText="1"/>
    </xf>
    <xf numFmtId="0" fontId="11" fillId="9" borderId="14" xfId="0" applyFont="1" applyFill="1" applyBorder="1" applyAlignment="1">
      <alignment horizontal="center" vertical="center" wrapText="1"/>
    </xf>
    <xf numFmtId="0" fontId="11" fillId="9" borderId="16" xfId="0" applyFont="1" applyFill="1" applyBorder="1" applyAlignment="1">
      <alignment horizontal="center" vertical="center" wrapText="1"/>
    </xf>
    <xf numFmtId="0" fontId="11" fillId="9" borderId="19" xfId="0" applyFont="1" applyFill="1" applyBorder="1" applyAlignment="1">
      <alignment horizontal="center" vertical="center" wrapText="1"/>
    </xf>
    <xf numFmtId="0" fontId="30" fillId="17" borderId="4" xfId="0" applyFont="1" applyFill="1" applyBorder="1" applyAlignment="1">
      <alignment horizontal="center"/>
    </xf>
    <xf numFmtId="0" fontId="30" fillId="17" borderId="5" xfId="0" applyFont="1" applyFill="1" applyBorder="1" applyAlignment="1">
      <alignment horizontal="center"/>
    </xf>
    <xf numFmtId="0" fontId="26" fillId="6" borderId="54" xfId="0" applyFont="1" applyFill="1" applyBorder="1" applyAlignment="1">
      <alignment horizontal="center" vertical="center" wrapText="1"/>
    </xf>
    <xf numFmtId="0" fontId="26" fillId="6" borderId="55" xfId="0" applyFont="1" applyFill="1" applyBorder="1" applyAlignment="1">
      <alignment horizontal="center" vertical="center" wrapText="1"/>
    </xf>
    <xf numFmtId="0" fontId="5" fillId="8" borderId="56" xfId="0" applyFont="1" applyFill="1" applyBorder="1" applyAlignment="1">
      <alignment horizontal="center" vertical="center" wrapText="1"/>
    </xf>
    <xf numFmtId="0" fontId="0" fillId="0" borderId="0" xfId="0" applyAlignment="1"/>
  </cellXfs>
  <cellStyles count="5">
    <cellStyle name="Good" xfId="2" builtinId="26"/>
    <cellStyle name="Hyperlink" xfId="1" builtinId="8"/>
    <cellStyle name="Neutral" xfId="3" builtinId="28"/>
    <cellStyle name="Normal" xfId="0" builtinId="0"/>
    <cellStyle name="Normal 2" xfId="4" xr:uid="{00000000-0005-0000-0000-000004000000}"/>
  </cellStyles>
  <dxfs count="39">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i val="0"/>
        <strike val="0"/>
        <condense val="0"/>
        <extend val="0"/>
        <outline val="0"/>
        <shadow val="0"/>
        <u val="none"/>
        <vertAlign val="baseline"/>
        <sz val="10"/>
        <color theme="0"/>
        <name val="Calibri"/>
        <family val="2"/>
        <scheme val="minor"/>
      </font>
      <fill>
        <patternFill patternType="solid">
          <fgColor indexed="64"/>
          <bgColor theme="9" tint="-0.249977111117893"/>
        </patternFill>
      </fill>
      <alignment horizontal="center" vertical="center" textRotation="0" wrapText="1" indent="0" justifyLastLine="0" shrinkToFit="0" readingOrder="0"/>
      <border diagonalUp="0" diagonalDown="0">
        <left style="thin">
          <color indexed="64"/>
        </left>
        <right style="thin">
          <color indexed="64"/>
        </right>
        <top/>
        <bottom/>
        <vertical/>
        <horizontal/>
      </border>
    </dxf>
    <dxf>
      <alignment horizontal="center" vertical="center" textRotation="0" wrapText="0" indent="0" justifyLastLine="0" shrinkToFit="0" readingOrder="0"/>
    </dxf>
    <dxf>
      <border outline="0">
        <bottom style="medium">
          <color theme="9"/>
        </bottom>
      </border>
    </dxf>
    <dxf>
      <border outline="0">
        <top style="medium">
          <color theme="9"/>
        </top>
      </border>
    </dxf>
    <dxf>
      <font>
        <b/>
        <i val="0"/>
        <strike val="0"/>
        <condense val="0"/>
        <extend val="0"/>
        <outline val="0"/>
        <shadow val="0"/>
        <u val="none"/>
        <vertAlign val="baseline"/>
        <sz val="14"/>
        <color theme="9"/>
        <name val="Calibri"/>
        <family val="2"/>
        <scheme val="minor"/>
      </font>
      <fill>
        <patternFill patternType="solid">
          <fgColor indexed="64"/>
          <bgColor theme="1"/>
        </patternFill>
      </fill>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3" tint="0.79998168889431442"/>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3" tint="0.79998168889431442"/>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3.xml.rels><?xml version="1.0" encoding="UTF-8" standalone="yes"?>
<Relationships xmlns="http://schemas.openxmlformats.org/package/2006/relationships"><Relationship Id="rId1" Type="http://schemas.openxmlformats.org/officeDocument/2006/relationships/hyperlink" Target="#Hom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editAs="oneCell">
    <xdr:from>
      <xdr:col>3</xdr:col>
      <xdr:colOff>581024</xdr:colOff>
      <xdr:row>8</xdr:row>
      <xdr:rowOff>9525</xdr:rowOff>
    </xdr:from>
    <xdr:to>
      <xdr:col>6</xdr:col>
      <xdr:colOff>15129</xdr:colOff>
      <xdr:row>22</xdr:row>
      <xdr:rowOff>80708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409824" y="3095625"/>
          <a:ext cx="8168530" cy="2738183"/>
        </a:xfrm>
        <a:prstGeom prst="rect">
          <a:avLst/>
        </a:prstGeom>
      </xdr:spPr>
    </xdr:pic>
    <xdr:clientData/>
  </xdr:twoCellAnchor>
  <xdr:twoCellAnchor editAs="oneCell">
    <xdr:from>
      <xdr:col>4</xdr:col>
      <xdr:colOff>1</xdr:colOff>
      <xdr:row>29</xdr:row>
      <xdr:rowOff>142876</xdr:rowOff>
    </xdr:from>
    <xdr:to>
      <xdr:col>5</xdr:col>
      <xdr:colOff>5381987</xdr:colOff>
      <xdr:row>31</xdr:row>
      <xdr:rowOff>121228</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438401" y="7800976"/>
          <a:ext cx="8087086" cy="359352"/>
        </a:xfrm>
        <a:prstGeom prst="rect">
          <a:avLst/>
        </a:prstGeom>
      </xdr:spPr>
    </xdr:pic>
    <xdr:clientData/>
  </xdr:twoCellAnchor>
  <xdr:twoCellAnchor editAs="oneCell">
    <xdr:from>
      <xdr:col>4</xdr:col>
      <xdr:colOff>9525</xdr:colOff>
      <xdr:row>33</xdr:row>
      <xdr:rowOff>160388</xdr:rowOff>
    </xdr:from>
    <xdr:to>
      <xdr:col>6</xdr:col>
      <xdr:colOff>71718</xdr:colOff>
      <xdr:row>39</xdr:row>
      <xdr:rowOff>61246</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2429996" y="8015712"/>
          <a:ext cx="8186457" cy="1043858"/>
        </a:xfrm>
        <a:prstGeom prst="rect">
          <a:avLst/>
        </a:prstGeom>
      </xdr:spPr>
    </xdr:pic>
    <xdr:clientData/>
  </xdr:twoCellAnchor>
  <xdr:twoCellAnchor editAs="oneCell">
    <xdr:from>
      <xdr:col>3</xdr:col>
      <xdr:colOff>600075</xdr:colOff>
      <xdr:row>39</xdr:row>
      <xdr:rowOff>114300</xdr:rowOff>
    </xdr:from>
    <xdr:to>
      <xdr:col>5</xdr:col>
      <xdr:colOff>1199030</xdr:colOff>
      <xdr:row>48</xdr:row>
      <xdr:rowOff>9571</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2415428" y="9112624"/>
          <a:ext cx="3904690" cy="1609771"/>
        </a:xfrm>
        <a:prstGeom prst="rect">
          <a:avLst/>
        </a:prstGeom>
      </xdr:spPr>
    </xdr:pic>
    <xdr:clientData/>
  </xdr:twoCellAnchor>
  <xdr:twoCellAnchor editAs="oneCell">
    <xdr:from>
      <xdr:col>3</xdr:col>
      <xdr:colOff>549088</xdr:colOff>
      <xdr:row>49</xdr:row>
      <xdr:rowOff>134007</xdr:rowOff>
    </xdr:from>
    <xdr:to>
      <xdr:col>5</xdr:col>
      <xdr:colOff>5322794</xdr:colOff>
      <xdr:row>51</xdr:row>
      <xdr:rowOff>88599</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2364441" y="11037331"/>
          <a:ext cx="8079441" cy="335592"/>
        </a:xfrm>
        <a:prstGeom prst="rect">
          <a:avLst/>
        </a:prstGeom>
      </xdr:spPr>
    </xdr:pic>
    <xdr:clientData/>
  </xdr:twoCellAnchor>
  <xdr:twoCellAnchor editAs="oneCell">
    <xdr:from>
      <xdr:col>4</xdr:col>
      <xdr:colOff>0</xdr:colOff>
      <xdr:row>53</xdr:row>
      <xdr:rowOff>0</xdr:rowOff>
    </xdr:from>
    <xdr:to>
      <xdr:col>13</xdr:col>
      <xdr:colOff>267123</xdr:colOff>
      <xdr:row>58</xdr:row>
      <xdr:rowOff>161786</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2451652" y="11653630"/>
          <a:ext cx="13171428" cy="1114286"/>
        </a:xfrm>
        <a:prstGeom prst="rect">
          <a:avLst/>
        </a:prstGeom>
      </xdr:spPr>
    </xdr:pic>
    <xdr:clientData/>
  </xdr:twoCellAnchor>
  <xdr:twoCellAnchor editAs="oneCell">
    <xdr:from>
      <xdr:col>4</xdr:col>
      <xdr:colOff>0</xdr:colOff>
      <xdr:row>60</xdr:row>
      <xdr:rowOff>0</xdr:rowOff>
    </xdr:from>
    <xdr:to>
      <xdr:col>5</xdr:col>
      <xdr:colOff>3167602</xdr:colOff>
      <xdr:row>71</xdr:row>
      <xdr:rowOff>95556</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2420471" y="12998824"/>
          <a:ext cx="5868219" cy="2191056"/>
        </a:xfrm>
        <a:prstGeom prst="rect">
          <a:avLst/>
        </a:prstGeom>
      </xdr:spPr>
    </xdr:pic>
    <xdr:clientData/>
  </xdr:twoCellAnchor>
  <xdr:twoCellAnchor editAs="oneCell">
    <xdr:from>
      <xdr:col>4</xdr:col>
      <xdr:colOff>0</xdr:colOff>
      <xdr:row>75</xdr:row>
      <xdr:rowOff>1</xdr:rowOff>
    </xdr:from>
    <xdr:to>
      <xdr:col>8</xdr:col>
      <xdr:colOff>367393</xdr:colOff>
      <xdr:row>79</xdr:row>
      <xdr:rowOff>174387</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8"/>
        <a:stretch>
          <a:fillRect/>
        </a:stretch>
      </xdr:blipFill>
      <xdr:spPr>
        <a:xfrm>
          <a:off x="2449286" y="15852322"/>
          <a:ext cx="10205357" cy="936386"/>
        </a:xfrm>
        <a:prstGeom prst="rect">
          <a:avLst/>
        </a:prstGeom>
      </xdr:spPr>
    </xdr:pic>
    <xdr:clientData/>
  </xdr:twoCellAnchor>
  <xdr:twoCellAnchor editAs="oneCell">
    <xdr:from>
      <xdr:col>4</xdr:col>
      <xdr:colOff>0</xdr:colOff>
      <xdr:row>93</xdr:row>
      <xdr:rowOff>54429</xdr:rowOff>
    </xdr:from>
    <xdr:to>
      <xdr:col>5</xdr:col>
      <xdr:colOff>5360980</xdr:colOff>
      <xdr:row>104</xdr:row>
      <xdr:rowOff>92827</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9"/>
        <a:stretch>
          <a:fillRect/>
        </a:stretch>
      </xdr:blipFill>
      <xdr:spPr>
        <a:xfrm>
          <a:off x="2449286" y="19335750"/>
          <a:ext cx="8068801" cy="2133898"/>
        </a:xfrm>
        <a:prstGeom prst="rect">
          <a:avLst/>
        </a:prstGeom>
      </xdr:spPr>
    </xdr:pic>
    <xdr:clientData/>
  </xdr:twoCellAnchor>
  <xdr:twoCellAnchor editAs="oneCell">
    <xdr:from>
      <xdr:col>4</xdr:col>
      <xdr:colOff>0</xdr:colOff>
      <xdr:row>86</xdr:row>
      <xdr:rowOff>0</xdr:rowOff>
    </xdr:from>
    <xdr:to>
      <xdr:col>11</xdr:col>
      <xdr:colOff>604511</xdr:colOff>
      <xdr:row>92</xdr:row>
      <xdr:rowOff>181160</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0"/>
        <a:stretch>
          <a:fillRect/>
        </a:stretch>
      </xdr:blipFill>
      <xdr:spPr>
        <a:xfrm>
          <a:off x="2449286" y="17947821"/>
          <a:ext cx="12279439" cy="1324160"/>
        </a:xfrm>
        <a:prstGeom prst="rect">
          <a:avLst/>
        </a:prstGeom>
      </xdr:spPr>
    </xdr:pic>
    <xdr:clientData/>
  </xdr:twoCellAnchor>
  <xdr:twoCellAnchor editAs="oneCell">
    <xdr:from>
      <xdr:col>4</xdr:col>
      <xdr:colOff>0</xdr:colOff>
      <xdr:row>109</xdr:row>
      <xdr:rowOff>0</xdr:rowOff>
    </xdr:from>
    <xdr:to>
      <xdr:col>11</xdr:col>
      <xdr:colOff>489857</xdr:colOff>
      <xdr:row>115</xdr:row>
      <xdr:rowOff>150143</xdr:rowOff>
    </xdr:to>
    <xdr:pic>
      <xdr:nvPicPr>
        <xdr:cNvPr id="13" name="Picture 12">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1"/>
        <a:stretch>
          <a:fillRect/>
        </a:stretch>
      </xdr:blipFill>
      <xdr:spPr>
        <a:xfrm>
          <a:off x="2449286" y="22329321"/>
          <a:ext cx="12164785" cy="1293143"/>
        </a:xfrm>
        <a:prstGeom prst="rect">
          <a:avLst/>
        </a:prstGeom>
      </xdr:spPr>
    </xdr:pic>
    <xdr:clientData/>
  </xdr:twoCellAnchor>
  <xdr:twoCellAnchor editAs="oneCell">
    <xdr:from>
      <xdr:col>4</xdr:col>
      <xdr:colOff>0</xdr:colOff>
      <xdr:row>124</xdr:row>
      <xdr:rowOff>0</xdr:rowOff>
    </xdr:from>
    <xdr:to>
      <xdr:col>11</xdr:col>
      <xdr:colOff>563167</xdr:colOff>
      <xdr:row>131</xdr:row>
      <xdr:rowOff>76024</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2"/>
        <a:stretch>
          <a:fillRect/>
        </a:stretch>
      </xdr:blipFill>
      <xdr:spPr>
        <a:xfrm>
          <a:off x="2449286" y="25186821"/>
          <a:ext cx="12238095" cy="1409524"/>
        </a:xfrm>
        <a:prstGeom prst="rect">
          <a:avLst/>
        </a:prstGeom>
      </xdr:spPr>
    </xdr:pic>
    <xdr:clientData/>
  </xdr:twoCellAnchor>
  <xdr:twoCellAnchor editAs="oneCell">
    <xdr:from>
      <xdr:col>4</xdr:col>
      <xdr:colOff>0</xdr:colOff>
      <xdr:row>137</xdr:row>
      <xdr:rowOff>0</xdr:rowOff>
    </xdr:from>
    <xdr:to>
      <xdr:col>12</xdr:col>
      <xdr:colOff>26479</xdr:colOff>
      <xdr:row>144</xdr:row>
      <xdr:rowOff>171262</xdr:rowOff>
    </xdr:to>
    <xdr:pic>
      <xdr:nvPicPr>
        <xdr:cNvPr id="14" name="Picture 13">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3"/>
        <a:stretch>
          <a:fillRect/>
        </a:stretch>
      </xdr:blipFill>
      <xdr:spPr>
        <a:xfrm>
          <a:off x="2420471" y="27667324"/>
          <a:ext cx="12285714" cy="1504762"/>
        </a:xfrm>
        <a:prstGeom prst="rect">
          <a:avLst/>
        </a:prstGeom>
      </xdr:spPr>
    </xdr:pic>
    <xdr:clientData/>
  </xdr:twoCellAnchor>
  <xdr:twoCellAnchor editAs="oneCell">
    <xdr:from>
      <xdr:col>3</xdr:col>
      <xdr:colOff>571500</xdr:colOff>
      <xdr:row>155</xdr:row>
      <xdr:rowOff>176151</xdr:rowOff>
    </xdr:from>
    <xdr:to>
      <xdr:col>8</xdr:col>
      <xdr:colOff>588818</xdr:colOff>
      <xdr:row>173</xdr:row>
      <xdr:rowOff>74790</xdr:rowOff>
    </xdr:to>
    <xdr:pic>
      <xdr:nvPicPr>
        <xdr:cNvPr id="15" name="Picture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4"/>
        <a:stretch>
          <a:fillRect/>
        </a:stretch>
      </xdr:blipFill>
      <xdr:spPr>
        <a:xfrm>
          <a:off x="2389909" y="31279606"/>
          <a:ext cx="10460182" cy="33276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152400</xdr:colOff>
          <xdr:row>2</xdr:row>
          <xdr:rowOff>76200</xdr:rowOff>
        </xdr:from>
        <xdr:to>
          <xdr:col>1</xdr:col>
          <xdr:colOff>1533525</xdr:colOff>
          <xdr:row>2</xdr:row>
          <xdr:rowOff>495300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5</xdr:col>
      <xdr:colOff>15381</xdr:colOff>
      <xdr:row>1</xdr:row>
      <xdr:rowOff>306737</xdr:rowOff>
    </xdr:from>
    <xdr:to>
      <xdr:col>11</xdr:col>
      <xdr:colOff>164022</xdr:colOff>
      <xdr:row>3</xdr:row>
      <xdr:rowOff>46264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8587881" y="725837"/>
          <a:ext cx="6997116" cy="8730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1228725</xdr:colOff>
      <xdr:row>5</xdr:row>
      <xdr:rowOff>114300</xdr:rowOff>
    </xdr:from>
    <xdr:to>
      <xdr:col>7</xdr:col>
      <xdr:colOff>381000</xdr:colOff>
      <xdr:row>9</xdr:row>
      <xdr:rowOff>142875</xdr:rowOff>
    </xdr:to>
    <xdr:sp macro="" textlink="">
      <xdr:nvSpPr>
        <xdr:cNvPr id="2" name="Donut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11458575" y="942975"/>
          <a:ext cx="1038225" cy="819150"/>
        </a:xfrm>
        <a:prstGeom prst="don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latin typeface="Helvetica 55 Roman" panose="02000503040000020004" pitchFamily="2" charset="0"/>
            </a:rPr>
            <a:t>Home</a:t>
          </a:r>
          <a:endParaRPr lang="en-US" sz="1100" b="1">
            <a:solidFill>
              <a:schemeClr val="tx1"/>
            </a:solidFill>
            <a:latin typeface="Helvetica 55 Roman" panose="02000503040000020004" pitchFamily="2"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ob-fs-01\Digital%20Channels\Saved%20Replies\Sheets\VAS%20&amp;%20DAs\V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Services"/>
      <sheetName val="Port. &amp; Valid."/>
      <sheetName val="E-Shop"/>
      <sheetName val="Tools"/>
      <sheetName val="Sheet2"/>
      <sheetName val="Retail Actions"/>
      <sheetName val="Shops"/>
    </sheetNames>
    <sheetDataSet>
      <sheetData sheetId="0"/>
      <sheetData sheetId="1"/>
      <sheetData sheetId="2"/>
      <sheetData sheetId="3"/>
      <sheetData sheetId="4"/>
      <sheetData sheetId="5">
        <row r="1">
          <cell r="J1" t="str">
            <v>Tool Name</v>
          </cell>
          <cell r="K1" t="str">
            <v>Tool Link</v>
          </cell>
          <cell r="L1" t="str">
            <v>Username</v>
          </cell>
          <cell r="M1" t="str">
            <v>Password</v>
          </cell>
        </row>
        <row r="2">
          <cell r="J2" t="str">
            <v>ADM Tool</v>
          </cell>
          <cell r="K2" t="str">
            <v>https://10.53.215.20/#/login</v>
          </cell>
          <cell r="L2" t="str">
            <v>Profile Username</v>
          </cell>
          <cell r="M2" t="str">
            <v>Profile Password</v>
          </cell>
        </row>
        <row r="3">
          <cell r="J3" t="str">
            <v>Alerting (​SDP)​ New</v>
          </cell>
          <cell r="K3" t="str">
            <v>http://umvas.vlserv.com/DOBManagement/WebTool/CustomerCare/SDPCustomerCareTool/index</v>
          </cell>
          <cell r="L3" t="str">
            <v>OrangeCustomerCareUser</v>
          </cell>
          <cell r="M3" t="str">
            <v>QpEOYYn4s8</v>
          </cell>
        </row>
        <row r="4">
          <cell r="J4" t="str">
            <v>Block Tool</v>
          </cell>
          <cell r="K4" t="str">
            <v>https://10.45.128.46:8080/CB-Provisioning-Web/login.xhtml</v>
          </cell>
          <cell r="L4" t="str">
            <v>Personal username</v>
          </cell>
          <cell r="M4" t="str">
            <v>qwA_324</v>
          </cell>
        </row>
        <row r="5">
          <cell r="J5" t="str">
            <v>Call tone</v>
          </cell>
          <cell r="K5" t="str">
            <v>https://10.57.201.166:9143/cs/#/login</v>
          </cell>
          <cell r="L5" t="str">
            <v>Personal username</v>
          </cell>
          <cell r="M5" t="str">
            <v>qwA_324</v>
          </cell>
        </row>
        <row r="6">
          <cell r="J6" t="str">
            <v>Eligibility Tool</v>
          </cell>
          <cell r="K6" t="str">
            <v>http://10.11.121.24:448/MyAppsUnified/</v>
          </cell>
          <cell r="L6" t="str">
            <v>Personal</v>
          </cell>
          <cell r="M6" t="str">
            <v>Personal</v>
          </cell>
        </row>
        <row r="7">
          <cell r="J7" t="str">
            <v>E-TopUp (CS)</v>
          </cell>
          <cell r="K7" t="str">
            <v>https://pretups.orange.eg/pretups/</v>
          </cell>
          <cell r="L7" t="str">
            <v>No Need</v>
          </cell>
          <cell r="M7" t="str">
            <v>No Need</v>
          </cell>
        </row>
        <row r="8">
          <cell r="J8" t="str">
            <v>Exception tool Agent</v>
          </cell>
          <cell r="K8" t="str">
            <v>http://10.11.121.24:448/wfm/</v>
          </cell>
          <cell r="L8" t="str">
            <v>No Need</v>
          </cell>
          <cell r="M8" t="str">
            <v>No Need</v>
          </cell>
        </row>
        <row r="9">
          <cell r="J9" t="str">
            <v>Fawry Platform OC</v>
          </cell>
          <cell r="K9" t="str">
            <v>http://192.168.168.150:8002/fawryadmin/fawryadmin/Fawry.html#GENERAL_HomeView</v>
          </cell>
          <cell r="L9" t="str">
            <v>Personal</v>
          </cell>
          <cell r="M9" t="str">
            <v>Personal</v>
          </cell>
        </row>
        <row r="10">
          <cell r="J10" t="str">
            <v>Game+</v>
          </cell>
          <cell r="K10" t="str">
            <v>http://support.orangegamesplus.com/</v>
          </cell>
          <cell r="L10" t="str">
            <v>orangegamesplus@support.com</v>
          </cell>
          <cell r="M10" t="str">
            <v>ogps2021</v>
          </cell>
        </row>
        <row r="11">
          <cell r="J11" t="str">
            <v>Gameloft</v>
          </cell>
          <cell r="K11" t="str">
            <v>https://secure.gameloft.com/supporttool/</v>
          </cell>
          <cell r="L11" t="str">
            <v>mobinilEgypt</v>
          </cell>
          <cell r="M11" t="str">
            <v>spTgNbL2</v>
          </cell>
        </row>
        <row r="12">
          <cell r="J12" t="str">
            <v>Gaming</v>
          </cell>
          <cell r="K12" t="str">
            <v>http://41.33.87.164/bme/main/localAuth.action</v>
          </cell>
          <cell r="L12" t="str">
            <v>orangegame_cs</v>
          </cell>
          <cell r="M12" t="str">
            <v>Orange2022</v>
          </cell>
        </row>
        <row r="13">
          <cell r="J13" t="str">
            <v>Home 4G Reset Loc.</v>
          </cell>
          <cell r="K13" t="str">
            <v>http://inforegcs.orange.eg/cck-clear-device-location.aspx</v>
          </cell>
          <cell r="L13" t="str">
            <v>No Need</v>
          </cell>
          <cell r="M13" t="str">
            <v>No Need</v>
          </cell>
        </row>
        <row r="14">
          <cell r="J14" t="str">
            <v>Law Mawhoub</v>
          </cell>
          <cell r="K14" t="str">
            <v>http://orange.alerting.services/OrangeCC/Login.aspx</v>
          </cell>
          <cell r="L14" t="str">
            <v>OrangeCC</v>
          </cell>
          <cell r="M14" t="str">
            <v>tf7hy</v>
          </cell>
        </row>
        <row r="15">
          <cell r="J15" t="str">
            <v>MCA New ​​tool</v>
          </cell>
          <cell r="K15" t="str">
            <v>https://10.45.128.46:8080/MCA-NOR-Web/login.xhtml</v>
          </cell>
          <cell r="L15" t="str">
            <v>csagent</v>
          </cell>
          <cell r="M15" t="str">
            <v>csagent</v>
          </cell>
        </row>
        <row r="16">
          <cell r="J16" t="str">
            <v>Mondia Media 1</v>
          </cell>
          <cell r="K16" t="str">
            <v>http://cuca.mondiamediamena.com/cuca/common/home</v>
          </cell>
          <cell r="L16" t="str">
            <v>orangeeg</v>
          </cell>
          <cell r="M16" t="str">
            <v>Orange@012</v>
          </cell>
        </row>
        <row r="17">
          <cell r="J17" t="str">
            <v>Mondia Media 2</v>
          </cell>
          <cell r="K17" t="str">
            <v>https://customercare.mondia.com/web/user/services</v>
          </cell>
          <cell r="L17" t="str">
            <v>orangecustomercare@orange.com</v>
          </cell>
          <cell r="M17" t="str">
            <v>P@$$w0rd</v>
          </cell>
        </row>
        <row r="18">
          <cell r="J18" t="str">
            <v>NPG</v>
          </cell>
          <cell r="K18" t="str">
            <v>https://10.11.121.67/NPG/</v>
          </cell>
          <cell r="L18" t="str">
            <v>Profile Username</v>
          </cell>
          <cell r="M18" t="str">
            <v>Profile Password</v>
          </cell>
        </row>
        <row r="19">
          <cell r="J19" t="str">
            <v>OMA</v>
          </cell>
          <cell r="K19" t="str">
            <v>https://oma.apps-details.com/pub/login</v>
          </cell>
          <cell r="L19" t="str">
            <v>karim.wahby@orange.com</v>
          </cell>
          <cell r="M19" t="str">
            <v>HkwvpB9INEN0</v>
          </cell>
        </row>
        <row r="20">
          <cell r="J20" t="str">
            <v>Oracle</v>
          </cell>
          <cell r="K20" t="str">
            <v>https://newapps.orange.eg/OA_HTML/AppsLocalLogin.jsp?langCode=US&amp;username=.3tygF8ki.1Og20MaEL5oobaHH7c7l50bNL1GDHhpCc</v>
          </cell>
          <cell r="L20" t="str">
            <v>Personal</v>
          </cell>
          <cell r="M20" t="str">
            <v>Personal</v>
          </cell>
        </row>
        <row r="21">
          <cell r="J21" t="str">
            <v>Orange Devices</v>
          </cell>
          <cell r="K21" t="str">
            <v>https://intranet/Customers/Sales%20Network/Devices/Pages/default.aspx</v>
          </cell>
          <cell r="L21" t="str">
            <v>No Need</v>
          </cell>
          <cell r="M21" t="str">
            <v>No Need</v>
          </cell>
        </row>
        <row r="22">
          <cell r="J22" t="str">
            <v>Pay for my community</v>
          </cell>
          <cell r="K22" t="str">
            <v>https://10.45.128.46:8080/P4MC-Provisioning-Web/login.xhtml</v>
          </cell>
          <cell r="L22" t="str">
            <v>Personal</v>
          </cell>
          <cell r="M22" t="str">
            <v>Personal</v>
          </cell>
        </row>
        <row r="23">
          <cell r="J23" t="str">
            <v>Siebel</v>
          </cell>
          <cell r="K23" t="str">
            <v>https://10.11.127.112/siebel/app/ecomm/enu</v>
          </cell>
          <cell r="L23" t="str">
            <v>Profile Username</v>
          </cell>
          <cell r="M23" t="str">
            <v>Profile Password</v>
          </cell>
        </row>
        <row r="24">
          <cell r="J24" t="str">
            <v>Siebel Cut Off Tool</v>
          </cell>
          <cell r="K24" t="str">
            <v>https://intranet/teamsites/customerService/Applications%20Guide/Siebel%20%28New%20CRM%20Application%29/Lists/Siebel%2024%205%202011/overview.aspx</v>
          </cell>
          <cell r="L24" t="str">
            <v>No Need</v>
          </cell>
          <cell r="M24" t="str">
            <v>No Need</v>
          </cell>
        </row>
        <row r="25">
          <cell r="J25" t="str">
            <v>Stock Availability</v>
          </cell>
          <cell r="K25" t="str">
            <v>http://10.11.121.24:448/DialReleasing/StockAvilabilityPage</v>
          </cell>
          <cell r="L25" t="str">
            <v>No Need</v>
          </cell>
          <cell r="M25" t="str">
            <v>No Need</v>
          </cell>
        </row>
        <row r="26">
          <cell r="J26" t="str">
            <v>Devices Name</v>
          </cell>
          <cell r="K26" t="str">
            <v>https://intranet/teamsites/customerService/functions/110 Agents/110 Call Guide/Handling Rules/Device Availability New Handling through Orange Shops/Pages/default.aspx</v>
          </cell>
          <cell r="L26" t="str">
            <v>No Need</v>
          </cell>
          <cell r="M26" t="str">
            <v>No Need</v>
          </cell>
        </row>
        <row r="27">
          <cell r="J27" t="str">
            <v>T-Pay</v>
          </cell>
          <cell r="K27" t="str">
            <v>https://self-manage.tpay.me/simpleLogin.aspx</v>
          </cell>
          <cell r="L27" t="str">
            <v>Mobinilcustmercare@Mobinil.com</v>
          </cell>
          <cell r="M27" t="str">
            <v>Orange@2026</v>
          </cell>
        </row>
        <row r="28">
          <cell r="J28" t="str">
            <v>USSD Link 1</v>
          </cell>
          <cell r="K28" t="str">
            <v>http://10.57.226.133:8081/</v>
          </cell>
          <cell r="L28" t="str">
            <v>clcm</v>
          </cell>
          <cell r="M28" t="str">
            <v>OE=G@2023</v>
          </cell>
        </row>
        <row r="29">
          <cell r="J29" t="str">
            <v>USSD Link 2</v>
          </cell>
          <cell r="K29" t="str">
            <v>http://10.57.226.134:8081/</v>
          </cell>
          <cell r="L29" t="str">
            <v>clcm</v>
          </cell>
          <cell r="M29" t="str">
            <v>OE=G@2023</v>
          </cell>
        </row>
        <row r="30">
          <cell r="J30" t="str">
            <v>USSD Link 3</v>
          </cell>
          <cell r="K30" t="str">
            <v>http://10.60.244.69:8081/</v>
          </cell>
          <cell r="L30" t="str">
            <v>clcm</v>
          </cell>
          <cell r="M30" t="str">
            <v>OE=G@2023</v>
          </cell>
        </row>
        <row r="31">
          <cell r="J31" t="str">
            <v>Victory Link 1</v>
          </cell>
          <cell r="K31" t="str">
            <v>http://umvas.vlserv.com/DOBManagement/WebTool/CustomerCare/SDPCustomerCareTool/index</v>
          </cell>
          <cell r="L31" t="str">
            <v>OrangeCustomerCareUser</v>
          </cell>
          <cell r="M31" t="str">
            <v>QpEOYYn4s8</v>
          </cell>
        </row>
        <row r="32">
          <cell r="J32" t="str">
            <v>Victory Link 2</v>
          </cell>
          <cell r="K32" t="str">
            <v>http://umvas.vlserv.com/BillingPlatformUAT/WebTool/</v>
          </cell>
          <cell r="L32" t="str">
            <v>OrangeDOB</v>
          </cell>
          <cell r="M32" t="str">
            <v>Oran#$gdsdeD%012s</v>
          </cell>
        </row>
        <row r="33">
          <cell r="J33" t="str">
            <v>Voucher Tool</v>
          </cell>
          <cell r="K33" t="str">
            <v>http://10.11.121.24:448/MyAppsUnified/Provisioning/EagleConsumerVoucher/Default.aspx</v>
          </cell>
          <cell r="L33" t="str">
            <v>No Need</v>
          </cell>
          <cell r="M33" t="str">
            <v>No Need</v>
          </cell>
        </row>
        <row r="34">
          <cell r="J34" t="str">
            <v>WFM</v>
          </cell>
          <cell r="K34" t="str">
            <v>http://10.53.14.115:8085/wfm/login</v>
          </cell>
          <cell r="L34" t="str">
            <v>Personal</v>
          </cell>
          <cell r="M34" t="str">
            <v>Personal</v>
          </cell>
        </row>
      </sheetData>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6:B7" totalsRowShown="0" headerRowDxfId="38" dataDxfId="37">
  <autoFilter ref="A6:B7" xr:uid="{00000000-0009-0000-0100-000001000000}"/>
  <tableColumns count="2">
    <tableColumn id="1" xr3:uid="{00000000-0010-0000-0000-000001000000}" name="Recharging Fees" dataDxfId="36" dataCellStyle="Neutral"/>
    <tableColumn id="2" xr3:uid="{00000000-0010-0000-0000-000002000000}" name="Main credit" dataDxfId="35">
      <calculatedColumnFormula>A7*70%</calculatedColumnFormula>
    </tableColumn>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1:B12" totalsRowShown="0" headerRowDxfId="34" dataDxfId="33">
  <autoFilter ref="A11:B12" xr:uid="{00000000-0009-0000-0100-000002000000}"/>
  <tableColumns count="2">
    <tableColumn id="1" xr3:uid="{00000000-0010-0000-0100-000001000000}" name="Main credit" dataDxfId="32"/>
    <tableColumn id="2" xr3:uid="{00000000-0010-0000-0100-000002000000}" name="Recharging Fees" dataDxfId="31" dataCellStyle="Neutral">
      <calculatedColumnFormula>A12*100/70</calculatedColumnFormula>
    </tableColumn>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0FDEB0-5500-40EF-90D4-5D0A2194DAF6}" name="Table14" displayName="Table14" ref="A1:C1048576" totalsRowShown="0" headerRowDxfId="30" headerRowBorderDxfId="28" tableBorderDxfId="29">
  <autoFilter ref="A1:C1048576" xr:uid="{FD0FDEB0-5500-40EF-90D4-5D0A2194DAF6}"/>
  <tableColumns count="3">
    <tableColumn id="1" xr3:uid="{D668770A-63CC-435A-9DAC-4A8F95D3A457}" name="id" dataDxfId="27"/>
    <tableColumn id="2" xr3:uid="{11EC76BC-34B7-426F-861F-D3ABF9A00984}" name="title"/>
    <tableColumn id="3" xr3:uid="{0B4059AA-5E28-4FD8-8C01-AAEDF14B5433}" name="category" dataDxfId="26"/>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orangepedia/Promotions/Pages/Sha7net-El-Sa3d.aspx" TargetMode="External"/><Relationship Id="rId2" Type="http://schemas.openxmlformats.org/officeDocument/2006/relationships/hyperlink" Target="file:///\\mob-fs-01\Digital%20Channels\Saved%20Replies\Sheets" TargetMode="External"/><Relationship Id="rId1" Type="http://schemas.openxmlformats.org/officeDocument/2006/relationships/hyperlink" Target="http://orangepedia/Products/Services/Pages/Repetitive-Follow-Up-Calls-Handling.aspx" TargetMode="External"/><Relationship Id="rId6" Type="http://schemas.openxmlformats.org/officeDocument/2006/relationships/drawing" Target="../drawings/drawing1.xml"/><Relationship Id="rId5" Type="http://schemas.openxmlformats.org/officeDocument/2006/relationships/printerSettings" Target="../printerSettings/printerSettings4.bin"/><Relationship Id="rId4" Type="http://schemas.openxmlformats.org/officeDocument/2006/relationships/hyperlink" Target="http://orangepedia/Products/Services/Pages/Social-Media-handling-through-CC.aspx"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openxmlformats.org/officeDocument/2006/relationships/image" Target="../media/image15.emf"/><Relationship Id="rId4" Type="http://schemas.openxmlformats.org/officeDocument/2006/relationships/oleObject" Target="../embeddings/oleObject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hyperlink" Target="http://10.53.14.115:8085/wfm/login" TargetMode="External"/><Relationship Id="rId13" Type="http://schemas.openxmlformats.org/officeDocument/2006/relationships/hyperlink" Target="http://umvas.vlserv.com/DOBManagement/WebTool/CustomerCare/SDPCustomerCareTool/index" TargetMode="External"/><Relationship Id="rId18" Type="http://schemas.openxmlformats.org/officeDocument/2006/relationships/hyperlink" Target="https://10.57.201.166:9143/cs/" TargetMode="External"/><Relationship Id="rId3" Type="http://schemas.openxmlformats.org/officeDocument/2006/relationships/hyperlink" Target="http://10.11.121.24:448/wfm/" TargetMode="External"/><Relationship Id="rId21" Type="http://schemas.openxmlformats.org/officeDocument/2006/relationships/drawing" Target="../drawings/drawing3.xml"/><Relationship Id="rId7" Type="http://schemas.openxmlformats.org/officeDocument/2006/relationships/hyperlink" Target="https://intranet/teamsites/customerService/functions/110%20Agents/110%20Call%20Guide/Handling%20Rules/Device%20Availability%20New%20Handling%20through%20Orange%20Shops/Pages/default.aspx" TargetMode="External"/><Relationship Id="rId12" Type="http://schemas.openxmlformats.org/officeDocument/2006/relationships/hyperlink" Target="https://newapps.orange.eg/OA_HTML/AppsLocalLogin.jsp?langCode=US&amp;username=.3tygF8ki.1Og20MaEL5oobaHH7c7l50bNL1GDHhpCc" TargetMode="External"/><Relationship Id="rId17" Type="http://schemas.openxmlformats.org/officeDocument/2006/relationships/hyperlink" Target="http://10.11.121.24:448/DialReleasing/StockAvilabilityPage" TargetMode="External"/><Relationship Id="rId2" Type="http://schemas.openxmlformats.org/officeDocument/2006/relationships/hyperlink" Target="http://support.orangegamesplus.com/" TargetMode="External"/><Relationship Id="rId16" Type="http://schemas.openxmlformats.org/officeDocument/2006/relationships/hyperlink" Target="http://umvas.vlserv.com/DOBManagement/WebTool/CustomerCare/SDPCustomerCareTool/index" TargetMode="External"/><Relationship Id="rId20" Type="http://schemas.openxmlformats.org/officeDocument/2006/relationships/hyperlink" Target="mailto:Orange@2026" TargetMode="External"/><Relationship Id="rId1" Type="http://schemas.openxmlformats.org/officeDocument/2006/relationships/hyperlink" Target="mailto:Orange@012" TargetMode="External"/><Relationship Id="rId6" Type="http://schemas.openxmlformats.org/officeDocument/2006/relationships/hyperlink" Target="https://10.53.215.20/" TargetMode="External"/><Relationship Id="rId11" Type="http://schemas.openxmlformats.org/officeDocument/2006/relationships/hyperlink" Target="mailto:OE=G@2023" TargetMode="External"/><Relationship Id="rId5" Type="http://schemas.openxmlformats.org/officeDocument/2006/relationships/hyperlink" Target="https://customercare.mondia.com/web/user/services" TargetMode="External"/><Relationship Id="rId15" Type="http://schemas.openxmlformats.org/officeDocument/2006/relationships/hyperlink" Target="https://10.11.127.112/siebel/app/ecomm/enu" TargetMode="External"/><Relationship Id="rId10" Type="http://schemas.openxmlformats.org/officeDocument/2006/relationships/hyperlink" Target="https://10.11.121.67/NPG/" TargetMode="External"/><Relationship Id="rId19" Type="http://schemas.openxmlformats.org/officeDocument/2006/relationships/hyperlink" Target="mailto:Mobinilcustmercare@Mobinil.com" TargetMode="External"/><Relationship Id="rId4" Type="http://schemas.openxmlformats.org/officeDocument/2006/relationships/hyperlink" Target="http://10.11.121.24:448/MyAppsUnified/" TargetMode="External"/><Relationship Id="rId9" Type="http://schemas.openxmlformats.org/officeDocument/2006/relationships/hyperlink" Target="http://192.168.168.150:8002/fawryadmin/fawryadmin/Fawry.html" TargetMode="External"/><Relationship Id="rId14" Type="http://schemas.openxmlformats.org/officeDocument/2006/relationships/hyperlink" Target="http://10.11.121.24:448/MyAppsUnified/Provisioning/EagleConsumerVoucher/Default.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49"/>
  <sheetViews>
    <sheetView zoomScale="115" zoomScaleNormal="115" workbookViewId="0">
      <selection activeCell="B14" sqref="B14"/>
    </sheetView>
  </sheetViews>
  <sheetFormatPr defaultRowHeight="15"/>
  <cols>
    <col min="1" max="1" width="14.42578125" style="1" customWidth="1"/>
    <col min="2" max="2" width="49" style="1" customWidth="1"/>
    <col min="3" max="3" width="11.42578125" style="1" customWidth="1"/>
    <col min="4" max="4" width="52.85546875" style="2" customWidth="1"/>
    <col min="5" max="5" width="10.28515625" style="8" customWidth="1"/>
    <col min="6" max="6" width="53.140625" customWidth="1"/>
  </cols>
  <sheetData>
    <row r="1" spans="1:6" ht="19.5" thickBot="1">
      <c r="A1" s="74" t="s">
        <v>228</v>
      </c>
      <c r="B1" s="131" t="s">
        <v>230</v>
      </c>
      <c r="C1" s="135" t="s">
        <v>228</v>
      </c>
      <c r="D1" s="74" t="s">
        <v>230</v>
      </c>
      <c r="E1" s="135" t="s">
        <v>228</v>
      </c>
      <c r="F1" s="74" t="s">
        <v>230</v>
      </c>
    </row>
    <row r="2" spans="1:6" ht="25.5">
      <c r="A2" s="122" t="s">
        <v>2</v>
      </c>
      <c r="B2" s="132" t="s">
        <v>890</v>
      </c>
      <c r="C2" s="136" t="s">
        <v>91</v>
      </c>
      <c r="D2" s="10" t="s">
        <v>6</v>
      </c>
      <c r="E2" s="141" t="s">
        <v>94</v>
      </c>
      <c r="F2" s="10" t="s">
        <v>93</v>
      </c>
    </row>
    <row r="3" spans="1:6" ht="38.25">
      <c r="A3" s="122" t="s">
        <v>2</v>
      </c>
      <c r="B3" s="133" t="s">
        <v>752</v>
      </c>
      <c r="C3" s="136" t="s">
        <v>91</v>
      </c>
      <c r="D3" s="10" t="s">
        <v>277</v>
      </c>
      <c r="E3" s="141" t="s">
        <v>72</v>
      </c>
      <c r="F3" s="10" t="s">
        <v>73</v>
      </c>
    </row>
    <row r="4" spans="1:6" ht="26.25" thickBot="1">
      <c r="A4" s="122" t="s">
        <v>2</v>
      </c>
      <c r="B4" s="168" t="s">
        <v>275</v>
      </c>
      <c r="C4" s="136" t="s">
        <v>91</v>
      </c>
      <c r="D4" s="10" t="s">
        <v>770</v>
      </c>
      <c r="E4" s="130" t="s">
        <v>53</v>
      </c>
      <c r="F4" s="134" t="s">
        <v>813</v>
      </c>
    </row>
    <row r="5" spans="1:6" ht="38.25">
      <c r="A5" s="13" t="s">
        <v>3</v>
      </c>
      <c r="B5" s="169" t="s">
        <v>10</v>
      </c>
      <c r="C5" s="136" t="s">
        <v>91</v>
      </c>
      <c r="D5" s="10" t="s">
        <v>817</v>
      </c>
      <c r="E5" s="130" t="s">
        <v>53</v>
      </c>
      <c r="F5" s="134" t="s">
        <v>104</v>
      </c>
    </row>
    <row r="6" spans="1:6" ht="25.5">
      <c r="A6" s="13" t="s">
        <v>3</v>
      </c>
      <c r="B6" s="134" t="s">
        <v>8</v>
      </c>
      <c r="C6" s="136" t="s">
        <v>91</v>
      </c>
      <c r="D6" s="10" t="s">
        <v>278</v>
      </c>
      <c r="E6" s="137" t="s">
        <v>69</v>
      </c>
      <c r="F6" s="10" t="s">
        <v>274</v>
      </c>
    </row>
    <row r="7" spans="1:6" ht="25.5">
      <c r="A7" s="13" t="s">
        <v>3</v>
      </c>
      <c r="B7" s="134" t="s">
        <v>7</v>
      </c>
      <c r="C7" s="136" t="s">
        <v>31</v>
      </c>
      <c r="D7" s="10" t="s">
        <v>30</v>
      </c>
      <c r="E7" s="137" t="s">
        <v>69</v>
      </c>
      <c r="F7" s="10" t="s">
        <v>769</v>
      </c>
    </row>
    <row r="8" spans="1:6" ht="25.5">
      <c r="A8" s="13" t="s">
        <v>3</v>
      </c>
      <c r="B8" s="134" t="s">
        <v>0</v>
      </c>
      <c r="C8" s="136" t="s">
        <v>91</v>
      </c>
      <c r="D8" s="10" t="s">
        <v>747</v>
      </c>
      <c r="E8" s="137" t="s">
        <v>69</v>
      </c>
      <c r="F8" s="10" t="s">
        <v>70</v>
      </c>
    </row>
    <row r="9" spans="1:6">
      <c r="A9" s="13" t="s">
        <v>3</v>
      </c>
      <c r="B9" s="134" t="s">
        <v>1</v>
      </c>
      <c r="C9" s="136" t="s">
        <v>91</v>
      </c>
      <c r="D9" s="10" t="s">
        <v>285</v>
      </c>
      <c r="E9" s="137" t="s">
        <v>69</v>
      </c>
      <c r="F9" s="10" t="s">
        <v>279</v>
      </c>
    </row>
    <row r="10" spans="1:6" ht="39" customHeight="1">
      <c r="A10" s="13" t="s">
        <v>81</v>
      </c>
      <c r="B10" s="134" t="s">
        <v>914</v>
      </c>
      <c r="C10" s="136" t="s">
        <v>91</v>
      </c>
      <c r="D10" s="10" t="s">
        <v>746</v>
      </c>
      <c r="E10" s="137" t="s">
        <v>733</v>
      </c>
      <c r="F10" s="10" t="s">
        <v>732</v>
      </c>
    </row>
    <row r="11" spans="1:6" ht="25.5">
      <c r="A11" s="13" t="s">
        <v>3</v>
      </c>
      <c r="B11" s="134" t="s">
        <v>5</v>
      </c>
      <c r="C11" s="136" t="s">
        <v>91</v>
      </c>
      <c r="D11" s="10" t="s">
        <v>789</v>
      </c>
      <c r="E11" s="177" t="s">
        <v>913</v>
      </c>
      <c r="F11" s="10" t="s">
        <v>819</v>
      </c>
    </row>
    <row r="12" spans="1:6" ht="51">
      <c r="A12" s="13" t="s">
        <v>3</v>
      </c>
      <c r="B12" s="134" t="s">
        <v>11</v>
      </c>
      <c r="C12" s="136" t="s">
        <v>91</v>
      </c>
      <c r="D12" s="10" t="s">
        <v>795</v>
      </c>
      <c r="E12" s="177" t="s">
        <v>913</v>
      </c>
      <c r="F12" s="10" t="s">
        <v>819</v>
      </c>
    </row>
    <row r="13" spans="1:6" ht="51">
      <c r="A13" s="13" t="s">
        <v>3</v>
      </c>
      <c r="B13" s="134" t="s">
        <v>17</v>
      </c>
      <c r="C13" s="136" t="s">
        <v>91</v>
      </c>
      <c r="D13" s="10" t="s">
        <v>748</v>
      </c>
      <c r="E13" s="136" t="s">
        <v>91</v>
      </c>
      <c r="F13" s="10" t="s">
        <v>804</v>
      </c>
    </row>
    <row r="14" spans="1:6" ht="51">
      <c r="A14" s="13" t="s">
        <v>33</v>
      </c>
      <c r="B14" s="134" t="s">
        <v>12</v>
      </c>
      <c r="C14" s="136" t="s">
        <v>91</v>
      </c>
      <c r="D14" s="10" t="s">
        <v>808</v>
      </c>
      <c r="E14" s="13" t="s">
        <v>3</v>
      </c>
      <c r="F14" s="134" t="s">
        <v>23</v>
      </c>
    </row>
    <row r="15" spans="1:6" ht="30">
      <c r="A15" s="13" t="s">
        <v>36</v>
      </c>
      <c r="B15" s="134" t="s">
        <v>35</v>
      </c>
      <c r="C15" s="136" t="s">
        <v>791</v>
      </c>
      <c r="D15" s="10" t="s">
        <v>787</v>
      </c>
      <c r="E15" s="9" t="s">
        <v>910</v>
      </c>
      <c r="F15" s="10" t="s">
        <v>807</v>
      </c>
    </row>
    <row r="16" spans="1:6" ht="25.5">
      <c r="A16" s="176" t="s">
        <v>40</v>
      </c>
      <c r="B16" s="134" t="s">
        <v>105</v>
      </c>
      <c r="C16" s="136" t="s">
        <v>31</v>
      </c>
      <c r="D16" s="10" t="s">
        <v>793</v>
      </c>
      <c r="E16" s="9" t="s">
        <v>103</v>
      </c>
      <c r="F16" s="10" t="s">
        <v>102</v>
      </c>
    </row>
    <row r="17" spans="1:8" ht="38.25">
      <c r="A17" s="13" t="s">
        <v>72</v>
      </c>
      <c r="B17" s="134" t="s">
        <v>71</v>
      </c>
      <c r="C17" s="136" t="s">
        <v>31</v>
      </c>
      <c r="D17" s="10" t="s">
        <v>790</v>
      </c>
      <c r="E17" s="13" t="s">
        <v>915</v>
      </c>
      <c r="F17" s="134" t="s">
        <v>4</v>
      </c>
    </row>
    <row r="18" spans="1:8" ht="25.5">
      <c r="A18" s="13" t="s">
        <v>84</v>
      </c>
      <c r="B18" s="134" t="s">
        <v>106</v>
      </c>
      <c r="C18" s="136" t="s">
        <v>797</v>
      </c>
      <c r="D18" s="10" t="s">
        <v>796</v>
      </c>
      <c r="E18" s="136" t="s">
        <v>91</v>
      </c>
      <c r="F18" s="10" t="s">
        <v>804</v>
      </c>
    </row>
    <row r="19" spans="1:8" ht="25.5">
      <c r="A19" s="13" t="s">
        <v>3</v>
      </c>
      <c r="B19" s="134" t="s">
        <v>75</v>
      </c>
      <c r="C19" s="136"/>
      <c r="D19" s="10" t="s">
        <v>806</v>
      </c>
      <c r="E19" s="13" t="s">
        <v>809</v>
      </c>
      <c r="F19" s="10" t="s">
        <v>812</v>
      </c>
      <c r="H19" s="88"/>
    </row>
    <row r="20" spans="1:8" ht="45">
      <c r="A20" s="13" t="s">
        <v>90</v>
      </c>
      <c r="B20" s="134" t="s">
        <v>12</v>
      </c>
      <c r="C20" s="138" t="s">
        <v>29</v>
      </c>
      <c r="D20" s="10" t="s">
        <v>28</v>
      </c>
      <c r="E20" s="138" t="s">
        <v>21</v>
      </c>
      <c r="F20" s="10" t="s">
        <v>811</v>
      </c>
    </row>
    <row r="21" spans="1:8" ht="30">
      <c r="A21" s="13" t="s">
        <v>112</v>
      </c>
      <c r="B21" s="134" t="s">
        <v>202</v>
      </c>
      <c r="C21" s="138" t="s">
        <v>21</v>
      </c>
      <c r="D21" s="10" t="s">
        <v>818</v>
      </c>
      <c r="F21" s="2"/>
    </row>
    <row r="22" spans="1:8" ht="34.5" customHeight="1">
      <c r="A22" s="13" t="s">
        <v>112</v>
      </c>
      <c r="B22" s="134" t="s">
        <v>111</v>
      </c>
      <c r="C22" s="138" t="s">
        <v>271</v>
      </c>
      <c r="D22" s="10" t="s">
        <v>912</v>
      </c>
      <c r="F22" s="2"/>
    </row>
    <row r="23" spans="1:8" ht="30">
      <c r="A23" s="186" t="s">
        <v>115</v>
      </c>
      <c r="B23" s="134" t="s">
        <v>113</v>
      </c>
      <c r="C23" s="138" t="s">
        <v>21</v>
      </c>
      <c r="D23" s="10" t="s">
        <v>239</v>
      </c>
      <c r="F23" s="2"/>
    </row>
    <row r="24" spans="1:8" ht="30">
      <c r="A24" s="187"/>
      <c r="B24" s="134" t="s">
        <v>114</v>
      </c>
      <c r="C24" s="138" t="s">
        <v>21</v>
      </c>
      <c r="D24" s="10" t="s">
        <v>909</v>
      </c>
      <c r="F24" s="2"/>
    </row>
    <row r="25" spans="1:8" ht="30">
      <c r="A25" s="13" t="s">
        <v>77</v>
      </c>
      <c r="B25" s="134" t="s">
        <v>764</v>
      </c>
      <c r="C25" s="138" t="s">
        <v>21</v>
      </c>
      <c r="D25" s="10" t="s">
        <v>273</v>
      </c>
      <c r="F25" s="2"/>
    </row>
    <row r="26" spans="1:8" ht="30">
      <c r="A26" s="13" t="s">
        <v>110</v>
      </c>
      <c r="B26" s="134" t="s">
        <v>109</v>
      </c>
      <c r="C26" s="138" t="s">
        <v>21</v>
      </c>
      <c r="D26" s="10" t="s">
        <v>286</v>
      </c>
      <c r="F26" s="2"/>
      <c r="H26" s="148"/>
    </row>
    <row r="27" spans="1:8" ht="51">
      <c r="A27" s="13" t="s">
        <v>82</v>
      </c>
      <c r="B27" s="134" t="s">
        <v>9</v>
      </c>
      <c r="C27" s="138" t="s">
        <v>21</v>
      </c>
      <c r="D27" s="10" t="s">
        <v>772</v>
      </c>
      <c r="F27" s="2"/>
      <c r="H27" s="148"/>
    </row>
    <row r="28" spans="1:8" ht="38.25">
      <c r="A28" s="13" t="s">
        <v>41</v>
      </c>
      <c r="B28" s="134" t="s">
        <v>284</v>
      </c>
      <c r="C28" s="139" t="s">
        <v>15</v>
      </c>
      <c r="D28" s="10" t="s">
        <v>34</v>
      </c>
    </row>
    <row r="29" spans="1:8" ht="25.5">
      <c r="A29" s="13" t="s">
        <v>281</v>
      </c>
      <c r="B29" s="134" t="s">
        <v>280</v>
      </c>
      <c r="C29" s="139" t="s">
        <v>15</v>
      </c>
      <c r="D29" s="10" t="s">
        <v>20</v>
      </c>
    </row>
    <row r="30" spans="1:8" ht="51">
      <c r="A30" s="13" t="s">
        <v>281</v>
      </c>
      <c r="B30" s="134" t="s">
        <v>283</v>
      </c>
      <c r="C30" s="139" t="s">
        <v>15</v>
      </c>
      <c r="D30" s="10" t="s">
        <v>22</v>
      </c>
    </row>
    <row r="31" spans="1:8" ht="102">
      <c r="A31" s="13" t="s">
        <v>311</v>
      </c>
      <c r="B31" s="134" t="s">
        <v>310</v>
      </c>
      <c r="C31" s="139" t="s">
        <v>24</v>
      </c>
      <c r="D31" s="10" t="s">
        <v>25</v>
      </c>
      <c r="F31" s="8"/>
    </row>
    <row r="32" spans="1:8" ht="63.75">
      <c r="A32" s="13" t="s">
        <v>774</v>
      </c>
      <c r="B32" s="134" t="s">
        <v>773</v>
      </c>
      <c r="C32" s="139" t="s">
        <v>26</v>
      </c>
      <c r="D32" s="10" t="s">
        <v>243</v>
      </c>
    </row>
    <row r="33" spans="1:6">
      <c r="A33" s="13"/>
      <c r="B33" s="134"/>
      <c r="C33" s="139" t="s">
        <v>15</v>
      </c>
      <c r="D33" s="10" t="s">
        <v>13</v>
      </c>
    </row>
    <row r="34" spans="1:6" ht="51">
      <c r="A34" s="13" t="s">
        <v>218</v>
      </c>
      <c r="B34" s="134" t="s">
        <v>219</v>
      </c>
      <c r="C34" s="139" t="s">
        <v>15</v>
      </c>
      <c r="D34" s="10" t="s">
        <v>14</v>
      </c>
    </row>
    <row r="35" spans="1:6" ht="25.5">
      <c r="A35" s="13" t="s">
        <v>218</v>
      </c>
      <c r="B35" s="134" t="s">
        <v>226</v>
      </c>
      <c r="C35" s="139" t="s">
        <v>15</v>
      </c>
      <c r="D35" s="10" t="s">
        <v>86</v>
      </c>
    </row>
    <row r="36" spans="1:6" ht="38.25">
      <c r="A36" s="13" t="s">
        <v>229</v>
      </c>
      <c r="B36" s="134" t="s">
        <v>227</v>
      </c>
      <c r="C36" s="139" t="s">
        <v>108</v>
      </c>
      <c r="D36" s="10" t="s">
        <v>107</v>
      </c>
    </row>
    <row r="37" spans="1:6" ht="26.25" thickBot="1">
      <c r="A37" s="13" t="s">
        <v>270</v>
      </c>
      <c r="B37" s="134" t="s">
        <v>42</v>
      </c>
      <c r="C37" s="184" t="s">
        <v>87</v>
      </c>
      <c r="D37" s="173" t="s">
        <v>88</v>
      </c>
    </row>
    <row r="38" spans="1:6" ht="26.25" thickBot="1">
      <c r="A38" s="13" t="s">
        <v>270</v>
      </c>
      <c r="B38" s="134" t="s">
        <v>43</v>
      </c>
      <c r="C38" s="185"/>
      <c r="D38" s="175" t="s">
        <v>89</v>
      </c>
    </row>
    <row r="39" spans="1:6" ht="30">
      <c r="A39" s="13" t="s">
        <v>268</v>
      </c>
      <c r="B39" s="10" t="s">
        <v>269</v>
      </c>
      <c r="C39" s="140" t="s">
        <v>19</v>
      </c>
      <c r="D39" s="174" t="s">
        <v>18</v>
      </c>
    </row>
    <row r="40" spans="1:6" ht="38.25">
      <c r="A40" s="13" t="s">
        <v>241</v>
      </c>
      <c r="B40" s="10" t="s">
        <v>762</v>
      </c>
      <c r="C40" s="140" t="s">
        <v>19</v>
      </c>
      <c r="D40" s="10" t="s">
        <v>267</v>
      </c>
    </row>
    <row r="41" spans="1:6" ht="51">
      <c r="A41" s="13" t="s">
        <v>241</v>
      </c>
      <c r="B41" s="10" t="s">
        <v>240</v>
      </c>
      <c r="C41" s="140"/>
      <c r="D41" s="10"/>
      <c r="F41" s="88"/>
    </row>
    <row r="42" spans="1:6" ht="25.5">
      <c r="A42" s="13" t="s">
        <v>76</v>
      </c>
      <c r="B42" s="10" t="s">
        <v>266</v>
      </c>
      <c r="C42" s="139" t="s">
        <v>15</v>
      </c>
      <c r="D42" s="10" t="s">
        <v>314</v>
      </c>
    </row>
    <row r="43" spans="1:6" ht="25.5">
      <c r="A43" s="13" t="s">
        <v>39</v>
      </c>
      <c r="B43" s="10" t="s">
        <v>85</v>
      </c>
      <c r="C43" s="139" t="s">
        <v>15</v>
      </c>
      <c r="D43" s="10" t="s">
        <v>300</v>
      </c>
    </row>
    <row r="44" spans="1:6" ht="51">
      <c r="A44" s="13" t="s">
        <v>731</v>
      </c>
      <c r="B44" s="10" t="s">
        <v>751</v>
      </c>
      <c r="C44" s="142" t="s">
        <v>801</v>
      </c>
      <c r="D44" s="10" t="s">
        <v>800</v>
      </c>
    </row>
    <row r="45" spans="1:6" ht="51">
      <c r="A45" s="13" t="s">
        <v>312</v>
      </c>
      <c r="B45" s="10" t="s">
        <v>763</v>
      </c>
      <c r="C45" s="87" t="s">
        <v>265</v>
      </c>
      <c r="D45" s="10" t="s">
        <v>116</v>
      </c>
    </row>
    <row r="46" spans="1:6" ht="38.25">
      <c r="A46" s="13" t="s">
        <v>312</v>
      </c>
      <c r="B46" s="10" t="s">
        <v>313</v>
      </c>
      <c r="C46" s="87" t="s">
        <v>265</v>
      </c>
      <c r="D46" s="10" t="s">
        <v>802</v>
      </c>
    </row>
    <row r="47" spans="1:6" ht="102">
      <c r="A47" s="13" t="s">
        <v>83</v>
      </c>
      <c r="B47" s="10" t="s">
        <v>820</v>
      </c>
      <c r="C47" s="87" t="s">
        <v>265</v>
      </c>
      <c r="D47" s="10" t="s">
        <v>803</v>
      </c>
    </row>
    <row r="48" spans="1:6" ht="51">
      <c r="A48" s="13" t="s">
        <v>16</v>
      </c>
      <c r="B48" s="10" t="s">
        <v>92</v>
      </c>
      <c r="C48" s="87" t="s">
        <v>265</v>
      </c>
      <c r="D48" s="10" t="s">
        <v>249</v>
      </c>
    </row>
    <row r="49" spans="1:4" ht="25.5">
      <c r="A49" s="13" t="s">
        <v>32</v>
      </c>
      <c r="B49" s="10" t="s">
        <v>911</v>
      </c>
      <c r="C49" s="87" t="s">
        <v>265</v>
      </c>
      <c r="D49" s="10" t="s">
        <v>250</v>
      </c>
    </row>
    <row r="50" spans="1:4" ht="51">
      <c r="A50" s="13" t="s">
        <v>809</v>
      </c>
      <c r="B50" s="10" t="s">
        <v>810</v>
      </c>
      <c r="C50" s="87" t="s">
        <v>265</v>
      </c>
      <c r="D50" s="10" t="s">
        <v>27</v>
      </c>
    </row>
    <row r="51" spans="1:4" ht="51">
      <c r="A51" s="171" t="s">
        <v>749</v>
      </c>
      <c r="B51" s="10" t="s">
        <v>750</v>
      </c>
      <c r="C51" s="87" t="s">
        <v>265</v>
      </c>
      <c r="D51" s="10" t="s">
        <v>272</v>
      </c>
    </row>
    <row r="52" spans="1:4" ht="32.25" customHeight="1">
      <c r="A52" s="171" t="s">
        <v>884</v>
      </c>
      <c r="B52" s="10" t="s">
        <v>883</v>
      </c>
      <c r="C52" s="87" t="s">
        <v>265</v>
      </c>
      <c r="D52" s="10" t="s">
        <v>291</v>
      </c>
    </row>
    <row r="53" spans="1:4" ht="63.75">
      <c r="A53" s="188" t="s">
        <v>208</v>
      </c>
      <c r="B53" s="10" t="s">
        <v>833</v>
      </c>
      <c r="C53" s="87" t="s">
        <v>265</v>
      </c>
      <c r="D53" s="10" t="s">
        <v>788</v>
      </c>
    </row>
    <row r="54" spans="1:4" ht="76.5">
      <c r="A54" s="189"/>
      <c r="B54" s="10" t="s">
        <v>834</v>
      </c>
      <c r="C54" s="87" t="s">
        <v>265</v>
      </c>
      <c r="D54" s="10" t="s">
        <v>792</v>
      </c>
    </row>
    <row r="55" spans="1:4" ht="25.5">
      <c r="A55" s="189"/>
      <c r="B55" s="10" t="s">
        <v>835</v>
      </c>
      <c r="C55" s="144" t="s">
        <v>37</v>
      </c>
      <c r="D55" s="10" t="s">
        <v>244</v>
      </c>
    </row>
    <row r="56" spans="1:4" ht="89.25">
      <c r="A56" s="189"/>
      <c r="B56" s="10" t="s">
        <v>836</v>
      </c>
      <c r="C56" s="144" t="s">
        <v>37</v>
      </c>
      <c r="D56" s="10" t="s">
        <v>758</v>
      </c>
    </row>
    <row r="57" spans="1:4" ht="25.5">
      <c r="A57" s="189"/>
      <c r="B57" s="10" t="s">
        <v>18</v>
      </c>
      <c r="C57" s="144" t="s">
        <v>37</v>
      </c>
      <c r="D57" s="10" t="s">
        <v>38</v>
      </c>
    </row>
    <row r="58" spans="1:4" ht="25.5">
      <c r="A58" s="189"/>
      <c r="B58" s="10" t="s">
        <v>267</v>
      </c>
      <c r="C58" s="144" t="s">
        <v>37</v>
      </c>
      <c r="D58" s="10" t="s">
        <v>276</v>
      </c>
    </row>
    <row r="59" spans="1:4" ht="30">
      <c r="C59" s="144" t="s">
        <v>19</v>
      </c>
      <c r="D59" s="10" t="s">
        <v>18</v>
      </c>
    </row>
    <row r="60" spans="1:4" ht="25.5">
      <c r="C60" s="144" t="s">
        <v>37</v>
      </c>
      <c r="D60" s="10" t="s">
        <v>753</v>
      </c>
    </row>
    <row r="61" spans="1:4" ht="25.5">
      <c r="C61" s="144" t="s">
        <v>37</v>
      </c>
      <c r="D61" s="10" t="s">
        <v>771</v>
      </c>
    </row>
    <row r="62" spans="1:4" ht="25.5">
      <c r="C62" s="144" t="s">
        <v>37</v>
      </c>
      <c r="D62" s="10" t="s">
        <v>756</v>
      </c>
    </row>
    <row r="63" spans="1:4">
      <c r="C63" s="144" t="s">
        <v>37</v>
      </c>
      <c r="D63" s="10" t="s">
        <v>798</v>
      </c>
    </row>
    <row r="64" spans="1:4" ht="25.5">
      <c r="C64" s="144" t="s">
        <v>37</v>
      </c>
      <c r="D64" s="10" t="s">
        <v>799</v>
      </c>
    </row>
    <row r="65" spans="3:4" ht="25.5">
      <c r="C65" s="144" t="s">
        <v>37</v>
      </c>
      <c r="D65" s="10" t="s">
        <v>814</v>
      </c>
    </row>
    <row r="66" spans="3:4" ht="51">
      <c r="C66" s="144" t="s">
        <v>37</v>
      </c>
      <c r="D66" s="10" t="s">
        <v>832</v>
      </c>
    </row>
    <row r="67" spans="3:4" ht="38.25" customHeight="1">
      <c r="C67" s="144" t="s">
        <v>37</v>
      </c>
      <c r="D67" s="10" t="s">
        <v>242</v>
      </c>
    </row>
    <row r="69" spans="3:4" ht="38.25" customHeight="1"/>
    <row r="131" spans="2:5">
      <c r="D131" s="1"/>
    </row>
    <row r="133" spans="2:5">
      <c r="E133"/>
    </row>
    <row r="138" spans="2:5">
      <c r="B138" s="121"/>
    </row>
    <row r="147" spans="5:5">
      <c r="E147" s="120"/>
    </row>
    <row r="148" spans="5:5">
      <c r="E148" s="120"/>
    </row>
    <row r="149" spans="5:5">
      <c r="E149" s="121"/>
    </row>
  </sheetData>
  <mergeCells count="3">
    <mergeCell ref="C37:C38"/>
    <mergeCell ref="A23:A24"/>
    <mergeCell ref="A53:A5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69"/>
  <sheetViews>
    <sheetView zoomScaleNormal="100" workbookViewId="0">
      <selection activeCell="B6" sqref="B6"/>
    </sheetView>
  </sheetViews>
  <sheetFormatPr defaultRowHeight="15"/>
  <cols>
    <col min="1" max="1" width="20.140625" customWidth="1"/>
    <col min="2" max="2" width="73.7109375" style="1" customWidth="1"/>
    <col min="3" max="3" width="31.5703125" customWidth="1"/>
  </cols>
  <sheetData>
    <row r="1" spans="1:3" ht="23.25" customHeight="1">
      <c r="A1" s="191" t="s">
        <v>48</v>
      </c>
      <c r="B1" s="191"/>
      <c r="C1" s="146" t="s">
        <v>837</v>
      </c>
    </row>
    <row r="2" spans="1:3" ht="51">
      <c r="A2" s="3" t="s">
        <v>44</v>
      </c>
      <c r="B2" s="4" t="s">
        <v>45</v>
      </c>
      <c r="C2" s="150" t="s">
        <v>838</v>
      </c>
    </row>
    <row r="3" spans="1:3" ht="63.75">
      <c r="A3" s="5" t="s">
        <v>47</v>
      </c>
      <c r="B3" s="4" t="s">
        <v>46</v>
      </c>
      <c r="C3" s="150" t="s">
        <v>839</v>
      </c>
    </row>
    <row r="4" spans="1:3" ht="23.25">
      <c r="A4" s="190" t="s">
        <v>54</v>
      </c>
      <c r="B4" s="190"/>
      <c r="C4" s="150"/>
    </row>
    <row r="5" spans="1:3" ht="134.25" customHeight="1">
      <c r="A5" s="3" t="s">
        <v>50</v>
      </c>
      <c r="B5" s="4" t="s">
        <v>49</v>
      </c>
      <c r="C5" s="150" t="s">
        <v>840</v>
      </c>
    </row>
    <row r="6" spans="1:3" ht="127.5">
      <c r="A6" s="3" t="s">
        <v>51</v>
      </c>
      <c r="B6" s="4" t="s">
        <v>52</v>
      </c>
      <c r="C6" s="150" t="s">
        <v>841</v>
      </c>
    </row>
    <row r="7" spans="1:3" ht="23.25">
      <c r="A7" s="190" t="s">
        <v>57</v>
      </c>
      <c r="B7" s="190"/>
      <c r="C7" s="150"/>
    </row>
    <row r="8" spans="1:3" ht="127.5">
      <c r="A8" s="3" t="s">
        <v>55</v>
      </c>
      <c r="B8" s="7" t="s">
        <v>56</v>
      </c>
      <c r="C8" s="150" t="s">
        <v>842</v>
      </c>
    </row>
    <row r="9" spans="1:3" ht="23.25">
      <c r="A9" s="190" t="s">
        <v>64</v>
      </c>
      <c r="B9" s="190"/>
      <c r="C9" s="150"/>
    </row>
    <row r="10" spans="1:3" ht="344.25">
      <c r="A10" s="3" t="s">
        <v>58</v>
      </c>
      <c r="B10" s="7" t="s">
        <v>59</v>
      </c>
      <c r="C10" s="150" t="s">
        <v>843</v>
      </c>
    </row>
    <row r="11" spans="1:3" ht="127.5">
      <c r="A11" s="6" t="s">
        <v>60</v>
      </c>
      <c r="B11" s="7" t="s">
        <v>61</v>
      </c>
      <c r="C11" s="150" t="s">
        <v>844</v>
      </c>
    </row>
    <row r="12" spans="1:3" ht="229.5">
      <c r="A12" s="6" t="s">
        <v>62</v>
      </c>
      <c r="B12" s="7" t="s">
        <v>63</v>
      </c>
      <c r="C12" s="150" t="s">
        <v>845</v>
      </c>
    </row>
    <row r="13" spans="1:3" ht="23.25">
      <c r="A13" s="190" t="s">
        <v>74</v>
      </c>
      <c r="B13" s="190"/>
      <c r="C13" s="150"/>
    </row>
    <row r="14" spans="1:3" ht="51">
      <c r="A14" s="3" t="s">
        <v>68</v>
      </c>
      <c r="B14" s="85" t="s">
        <v>65</v>
      </c>
      <c r="C14" s="150" t="s">
        <v>794</v>
      </c>
    </row>
    <row r="15" spans="1:3" ht="127.5">
      <c r="A15" s="6" t="s">
        <v>66</v>
      </c>
      <c r="B15" s="7" t="s">
        <v>67</v>
      </c>
      <c r="C15" s="150" t="s">
        <v>846</v>
      </c>
    </row>
    <row r="16" spans="1:3" ht="23.25">
      <c r="A16" s="190" t="s">
        <v>80</v>
      </c>
      <c r="B16" s="190"/>
      <c r="C16" s="150"/>
    </row>
    <row r="17" spans="1:3" ht="140.25">
      <c r="A17" s="11" t="s">
        <v>78</v>
      </c>
      <c r="B17" s="12" t="s">
        <v>79</v>
      </c>
      <c r="C17" s="150"/>
    </row>
    <row r="18" spans="1:3" ht="23.25">
      <c r="A18" s="192">
        <v>110</v>
      </c>
      <c r="B18" s="193"/>
      <c r="C18" s="150"/>
    </row>
    <row r="19" spans="1:3" ht="76.5">
      <c r="A19" s="3" t="s">
        <v>251</v>
      </c>
      <c r="B19" s="86" t="s">
        <v>252</v>
      </c>
      <c r="C19" s="150" t="s">
        <v>853</v>
      </c>
    </row>
    <row r="20" spans="1:3" ht="140.25">
      <c r="A20" s="3" t="s">
        <v>253</v>
      </c>
      <c r="B20" s="4" t="s">
        <v>254</v>
      </c>
      <c r="C20" s="150" t="s">
        <v>847</v>
      </c>
    </row>
    <row r="21" spans="1:3" ht="94.5">
      <c r="A21" s="3" t="s">
        <v>255</v>
      </c>
      <c r="B21" s="4" t="s">
        <v>256</v>
      </c>
      <c r="C21" s="150" t="s">
        <v>848</v>
      </c>
    </row>
    <row r="22" spans="1:3" ht="81.75">
      <c r="A22" s="3" t="s">
        <v>257</v>
      </c>
      <c r="B22" s="4" t="s">
        <v>258</v>
      </c>
      <c r="C22" s="150" t="s">
        <v>849</v>
      </c>
    </row>
    <row r="23" spans="1:3" ht="81.75">
      <c r="A23" s="3" t="s">
        <v>259</v>
      </c>
      <c r="B23" s="4" t="s">
        <v>260</v>
      </c>
      <c r="C23" s="150" t="s">
        <v>850</v>
      </c>
    </row>
    <row r="24" spans="1:3" ht="81.75">
      <c r="A24" s="3" t="s">
        <v>261</v>
      </c>
      <c r="B24" s="4" t="s">
        <v>262</v>
      </c>
      <c r="C24" s="150" t="s">
        <v>851</v>
      </c>
    </row>
    <row r="25" spans="1:3" ht="120">
      <c r="A25" s="3" t="s">
        <v>263</v>
      </c>
      <c r="B25" s="4" t="s">
        <v>264</v>
      </c>
      <c r="C25" s="150" t="s">
        <v>852</v>
      </c>
    </row>
    <row r="26" spans="1:3" ht="23.25">
      <c r="A26" s="192" t="s">
        <v>97</v>
      </c>
      <c r="B26" s="193"/>
      <c r="C26" s="150"/>
    </row>
    <row r="27" spans="1:3" ht="76.5">
      <c r="A27" s="3" t="s">
        <v>95</v>
      </c>
      <c r="B27" s="7" t="s">
        <v>96</v>
      </c>
      <c r="C27" s="150" t="s">
        <v>854</v>
      </c>
    </row>
    <row r="28" spans="1:3" ht="23.25">
      <c r="A28" s="190" t="s">
        <v>119</v>
      </c>
      <c r="B28" s="190"/>
      <c r="C28" s="150"/>
    </row>
    <row r="29" spans="1:3" ht="127.5">
      <c r="A29" s="6" t="s">
        <v>117</v>
      </c>
      <c r="B29" s="7" t="s">
        <v>118</v>
      </c>
      <c r="C29" s="150"/>
    </row>
    <row r="30" spans="1:3" ht="23.25">
      <c r="A30" s="190" t="s">
        <v>201</v>
      </c>
      <c r="B30" s="190"/>
      <c r="C30" s="150"/>
    </row>
    <row r="31" spans="1:3" ht="89.25">
      <c r="A31" s="72" t="s">
        <v>197</v>
      </c>
      <c r="B31" s="4" t="s">
        <v>198</v>
      </c>
      <c r="C31" s="150" t="s">
        <v>855</v>
      </c>
    </row>
    <row r="32" spans="1:3" ht="76.5">
      <c r="A32" s="3" t="s">
        <v>199</v>
      </c>
      <c r="B32" s="4" t="s">
        <v>200</v>
      </c>
      <c r="C32" s="150" t="s">
        <v>856</v>
      </c>
    </row>
    <row r="33" spans="1:3" ht="165.75">
      <c r="A33" s="3" t="s">
        <v>294</v>
      </c>
      <c r="B33" s="4" t="s">
        <v>295</v>
      </c>
      <c r="C33" s="150" t="s">
        <v>857</v>
      </c>
    </row>
    <row r="34" spans="1:3" ht="63.75">
      <c r="A34" s="3" t="s">
        <v>296</v>
      </c>
      <c r="B34" s="4" t="s">
        <v>297</v>
      </c>
      <c r="C34" s="150" t="s">
        <v>858</v>
      </c>
    </row>
    <row r="35" spans="1:3" ht="216.75">
      <c r="A35" s="3" t="s">
        <v>298</v>
      </c>
      <c r="B35" s="4" t="s">
        <v>299</v>
      </c>
      <c r="C35" s="150" t="s">
        <v>859</v>
      </c>
    </row>
    <row r="36" spans="1:3" ht="23.25">
      <c r="A36" s="190" t="s">
        <v>208</v>
      </c>
      <c r="B36" s="190"/>
      <c r="C36" s="150"/>
    </row>
    <row r="37" spans="1:3" ht="51">
      <c r="A37" s="3" t="s">
        <v>203</v>
      </c>
      <c r="B37" s="86" t="s">
        <v>252</v>
      </c>
      <c r="C37" s="151" t="s">
        <v>860</v>
      </c>
    </row>
    <row r="38" spans="1:3" ht="102">
      <c r="A38" s="3" t="s">
        <v>204</v>
      </c>
      <c r="B38" s="7" t="s">
        <v>205</v>
      </c>
      <c r="C38" s="151" t="s">
        <v>861</v>
      </c>
    </row>
    <row r="39" spans="1:3" ht="63.75">
      <c r="A39" s="6" t="s">
        <v>206</v>
      </c>
      <c r="B39" s="7" t="s">
        <v>207</v>
      </c>
      <c r="C39" s="151" t="s">
        <v>862</v>
      </c>
    </row>
    <row r="40" spans="1:3" ht="165.75">
      <c r="A40" s="3" t="s">
        <v>245</v>
      </c>
      <c r="B40" s="4" t="s">
        <v>246</v>
      </c>
      <c r="C40" s="152" t="s">
        <v>863</v>
      </c>
    </row>
    <row r="41" spans="1:3" ht="23.25">
      <c r="A41" s="190" t="s">
        <v>224</v>
      </c>
      <c r="B41" s="190"/>
      <c r="C41" s="150"/>
    </row>
    <row r="42" spans="1:3" ht="242.25">
      <c r="A42" s="3" t="s">
        <v>220</v>
      </c>
      <c r="B42" s="4" t="s">
        <v>221</v>
      </c>
      <c r="C42" s="152" t="s">
        <v>876</v>
      </c>
    </row>
    <row r="43" spans="1:3" ht="255">
      <c r="A43" s="72" t="s">
        <v>222</v>
      </c>
      <c r="B43" s="73" t="s">
        <v>223</v>
      </c>
      <c r="C43" s="152" t="s">
        <v>877</v>
      </c>
    </row>
    <row r="44" spans="1:3" ht="23.25">
      <c r="A44" s="190" t="s">
        <v>293</v>
      </c>
      <c r="B44" s="190"/>
      <c r="C44" s="150"/>
    </row>
    <row r="45" spans="1:3" ht="38.25">
      <c r="A45" s="127" t="s">
        <v>878</v>
      </c>
      <c r="B45" s="128" t="s">
        <v>879</v>
      </c>
      <c r="C45" s="150"/>
    </row>
    <row r="46" spans="1:3" ht="102">
      <c r="A46" s="127" t="s">
        <v>880</v>
      </c>
      <c r="B46" s="128" t="s">
        <v>292</v>
      </c>
      <c r="C46" s="150"/>
    </row>
    <row r="47" spans="1:3" ht="51">
      <c r="A47" s="127" t="s">
        <v>881</v>
      </c>
      <c r="B47" s="128" t="s">
        <v>882</v>
      </c>
      <c r="C47" s="150"/>
    </row>
    <row r="48" spans="1:3" ht="23.25">
      <c r="A48" s="190" t="s">
        <v>305</v>
      </c>
      <c r="B48" s="190"/>
      <c r="C48" s="150"/>
    </row>
    <row r="49" spans="1:3" ht="63.75">
      <c r="A49" s="90" t="s">
        <v>301</v>
      </c>
      <c r="B49" s="4" t="s">
        <v>302</v>
      </c>
      <c r="C49" s="150" t="s">
        <v>874</v>
      </c>
    </row>
    <row r="50" spans="1:3" ht="127.5">
      <c r="A50" s="3" t="s">
        <v>303</v>
      </c>
      <c r="B50" s="4" t="s">
        <v>304</v>
      </c>
      <c r="C50" s="150" t="s">
        <v>875</v>
      </c>
    </row>
    <row r="51" spans="1:3" ht="23.25">
      <c r="A51" s="190" t="s">
        <v>309</v>
      </c>
      <c r="B51" s="190"/>
      <c r="C51" s="150"/>
    </row>
    <row r="52" spans="1:3" ht="242.25">
      <c r="A52" s="3" t="s">
        <v>307</v>
      </c>
      <c r="B52" s="4" t="s">
        <v>308</v>
      </c>
      <c r="C52" s="150"/>
    </row>
    <row r="53" spans="1:3" ht="23.25">
      <c r="A53" s="190" t="s">
        <v>745</v>
      </c>
      <c r="B53" s="190"/>
      <c r="C53" s="150"/>
    </row>
    <row r="54" spans="1:3" ht="127.5">
      <c r="A54" s="3" t="s">
        <v>734</v>
      </c>
      <c r="B54" s="4" t="s">
        <v>735</v>
      </c>
      <c r="C54" s="151" t="s">
        <v>870</v>
      </c>
    </row>
    <row r="55" spans="1:3" ht="165.75">
      <c r="A55" s="3" t="s">
        <v>736</v>
      </c>
      <c r="B55" s="4" t="s">
        <v>737</v>
      </c>
      <c r="C55" s="151" t="s">
        <v>871</v>
      </c>
    </row>
    <row r="56" spans="1:3" ht="165.75">
      <c r="A56" s="3" t="s">
        <v>738</v>
      </c>
      <c r="B56" s="4" t="s">
        <v>739</v>
      </c>
      <c r="C56" s="151" t="s">
        <v>872</v>
      </c>
    </row>
    <row r="57" spans="1:3" ht="114.75">
      <c r="A57" s="3" t="s">
        <v>740</v>
      </c>
      <c r="B57" s="86" t="s">
        <v>741</v>
      </c>
      <c r="C57" s="151" t="s">
        <v>873</v>
      </c>
    </row>
    <row r="58" spans="1:3" ht="23.25">
      <c r="A58" s="190" t="s">
        <v>744</v>
      </c>
      <c r="B58" s="190"/>
      <c r="C58" s="150"/>
    </row>
    <row r="59" spans="1:3" ht="102">
      <c r="A59" s="72" t="s">
        <v>743</v>
      </c>
      <c r="B59" s="4" t="s">
        <v>742</v>
      </c>
      <c r="C59" s="150"/>
    </row>
    <row r="60" spans="1:3" ht="23.25">
      <c r="A60" s="190" t="s">
        <v>754</v>
      </c>
      <c r="B60" s="190"/>
      <c r="C60" s="150"/>
    </row>
    <row r="61" spans="1:3" ht="51.75">
      <c r="A61" s="3" t="s">
        <v>754</v>
      </c>
      <c r="B61" s="119" t="s">
        <v>755</v>
      </c>
      <c r="C61" s="150"/>
    </row>
    <row r="62" spans="1:3" ht="23.25">
      <c r="A62" s="190" t="s">
        <v>786</v>
      </c>
      <c r="B62" s="190"/>
      <c r="C62" s="150"/>
    </row>
    <row r="63" spans="1:3" ht="102">
      <c r="A63" s="125" t="s">
        <v>775</v>
      </c>
      <c r="B63" s="126" t="s">
        <v>776</v>
      </c>
      <c r="C63" s="151" t="s">
        <v>864</v>
      </c>
    </row>
    <row r="64" spans="1:3" ht="63.75">
      <c r="A64" s="127" t="s">
        <v>777</v>
      </c>
      <c r="B64" s="128" t="s">
        <v>778</v>
      </c>
      <c r="C64" s="151" t="s">
        <v>865</v>
      </c>
    </row>
    <row r="65" spans="1:3" ht="63.75">
      <c r="A65" s="127" t="s">
        <v>779</v>
      </c>
      <c r="B65" s="129" t="s">
        <v>780</v>
      </c>
      <c r="C65" s="151" t="s">
        <v>866</v>
      </c>
    </row>
    <row r="66" spans="1:3" ht="63.75">
      <c r="A66" s="127" t="s">
        <v>781</v>
      </c>
      <c r="B66" s="129" t="s">
        <v>782</v>
      </c>
      <c r="C66" s="151" t="s">
        <v>867</v>
      </c>
    </row>
    <row r="67" spans="1:3" ht="63.75">
      <c r="A67" s="127" t="s">
        <v>783</v>
      </c>
      <c r="B67" s="129" t="s">
        <v>784</v>
      </c>
      <c r="C67" s="151" t="s">
        <v>868</v>
      </c>
    </row>
    <row r="68" spans="1:3" ht="38.25">
      <c r="A68" s="127" t="s">
        <v>785</v>
      </c>
      <c r="B68" s="129" t="s">
        <v>773</v>
      </c>
      <c r="C68" s="151" t="s">
        <v>869</v>
      </c>
    </row>
    <row r="69" spans="1:3">
      <c r="C69" s="150"/>
    </row>
  </sheetData>
  <mergeCells count="19">
    <mergeCell ref="A44:B44"/>
    <mergeCell ref="A48:B48"/>
    <mergeCell ref="A41:B41"/>
    <mergeCell ref="A1:B1"/>
    <mergeCell ref="A4:B4"/>
    <mergeCell ref="A7:B7"/>
    <mergeCell ref="A9:B9"/>
    <mergeCell ref="A13:B13"/>
    <mergeCell ref="A26:B26"/>
    <mergeCell ref="A28:B28"/>
    <mergeCell ref="A30:B30"/>
    <mergeCell ref="A36:B36"/>
    <mergeCell ref="A16:B16"/>
    <mergeCell ref="A18:B18"/>
    <mergeCell ref="A62:B62"/>
    <mergeCell ref="A53:B53"/>
    <mergeCell ref="A58:B58"/>
    <mergeCell ref="A60:B60"/>
    <mergeCell ref="A51:B51"/>
  </mergeCell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52" operator="containsText" id="{A29E26AB-665D-4F5E-961E-FBF0C6CA2C92}">
            <xm:f>NOT(ISERROR(SEARCH("add *155# upselling category",A2)))</xm:f>
            <xm:f>"add *155# upselling category"</xm:f>
            <x14:dxf>
              <font>
                <b val="0"/>
                <i val="0"/>
                <color rgb="FF00B050"/>
              </font>
            </x14:dxf>
          </x14:cfRule>
          <xm:sqref>A2:A3</xm:sqref>
        </x14:conditionalFormatting>
        <x14:conditionalFormatting xmlns:xm="http://schemas.microsoft.com/office/excel/2006/main">
          <x14:cfRule type="containsText" priority="50" operator="containsText" id="{E99646EA-BACE-4D32-A093-A1E1DFFDE282}">
            <xm:f>NOT(ISERROR(SEARCH("add *155# upselling category",A5)))</xm:f>
            <xm:f>"add *155# upselling category"</xm:f>
            <x14:dxf>
              <font>
                <b val="0"/>
                <i val="0"/>
                <color rgb="FF00B050"/>
              </font>
            </x14:dxf>
          </x14:cfRule>
          <xm:sqref>A5:A6</xm:sqref>
        </x14:conditionalFormatting>
        <x14:conditionalFormatting xmlns:xm="http://schemas.microsoft.com/office/excel/2006/main">
          <x14:cfRule type="containsText" priority="49" operator="containsText" id="{15D610B0-BA29-4310-9708-DF64A5BD0F0C}">
            <xm:f>NOT(ISERROR(SEARCH("add *155# upselling category",A8)))</xm:f>
            <xm:f>"add *155# upselling category"</xm:f>
            <x14:dxf>
              <font>
                <b val="0"/>
                <i val="0"/>
                <color rgb="FF00B050"/>
              </font>
            </x14:dxf>
          </x14:cfRule>
          <xm:sqref>A8</xm:sqref>
        </x14:conditionalFormatting>
        <x14:conditionalFormatting xmlns:xm="http://schemas.microsoft.com/office/excel/2006/main">
          <x14:cfRule type="containsText" priority="46" operator="containsText" id="{ACC2C11D-56BD-423C-B659-102B75D7E6F2}">
            <xm:f>NOT(ISERROR(SEARCH("add *155# upselling category",A10)))</xm:f>
            <xm:f>"add *155# upselling category"</xm:f>
            <x14:dxf>
              <font>
                <b val="0"/>
                <i val="0"/>
                <color rgb="FF00B050"/>
              </font>
            </x14:dxf>
          </x14:cfRule>
          <xm:sqref>A10:A12</xm:sqref>
        </x14:conditionalFormatting>
        <x14:conditionalFormatting xmlns:xm="http://schemas.microsoft.com/office/excel/2006/main">
          <x14:cfRule type="containsText" priority="44" operator="containsText" id="{BF774072-25DF-4920-B9F5-293FA4D65961}">
            <xm:f>NOT(ISERROR(SEARCH("add *155# upselling category",A14)))</xm:f>
            <xm:f>"add *155# upselling category"</xm:f>
            <x14:dxf>
              <font>
                <b val="0"/>
                <i val="0"/>
                <color rgb="FF00B050"/>
              </font>
            </x14:dxf>
          </x14:cfRule>
          <xm:sqref>A14:A15</xm:sqref>
        </x14:conditionalFormatting>
        <x14:conditionalFormatting xmlns:xm="http://schemas.microsoft.com/office/excel/2006/main">
          <x14:cfRule type="containsText" priority="22" operator="containsText" id="{01CA9EF7-115F-4D18-ADBF-E3319017D742}">
            <xm:f>NOT(ISERROR(SEARCH("add *155# upselling category",A19)))</xm:f>
            <xm:f>"add *155# upselling category"</xm:f>
            <x14:dxf>
              <font>
                <b val="0"/>
                <i val="0"/>
                <color rgb="FF00B050"/>
              </font>
            </x14:dxf>
          </x14:cfRule>
          <xm:sqref>A19:A25</xm:sqref>
        </x14:conditionalFormatting>
        <x14:conditionalFormatting xmlns:xm="http://schemas.microsoft.com/office/excel/2006/main">
          <x14:cfRule type="containsText" priority="42" operator="containsText" id="{188A6DE2-7D36-4E34-8C58-2D7DE3F311FE}">
            <xm:f>NOT(ISERROR(SEARCH("add *155# upselling category",A27)))</xm:f>
            <xm:f>"add *155# upselling category"</xm:f>
            <x14:dxf>
              <font>
                <b val="0"/>
                <i val="0"/>
                <color rgb="FF00B050"/>
              </font>
            </x14:dxf>
          </x14:cfRule>
          <xm:sqref>A27</xm:sqref>
        </x14:conditionalFormatting>
        <x14:conditionalFormatting xmlns:xm="http://schemas.microsoft.com/office/excel/2006/main">
          <x14:cfRule type="containsText" priority="15" operator="containsText" id="{30A45C02-83DF-4FAD-AD70-6BC505D73D94}">
            <xm:f>NOT(ISERROR(SEARCH("add *155# upselling category",A31)))</xm:f>
            <xm:f>"add *155# upselling category"</xm:f>
            <x14:dxf>
              <font>
                <b val="0"/>
                <i val="0"/>
                <color rgb="FF00B050"/>
              </font>
            </x14:dxf>
          </x14:cfRule>
          <xm:sqref>A31:A35</xm:sqref>
        </x14:conditionalFormatting>
        <x14:conditionalFormatting xmlns:xm="http://schemas.microsoft.com/office/excel/2006/main">
          <x14:cfRule type="containsText" priority="21" operator="containsText" id="{5BDD9427-8398-4C85-8583-DD795551303D}">
            <xm:f>NOT(ISERROR(SEARCH("add *155# upselling category",A37)))</xm:f>
            <xm:f>"add *155# upselling category"</xm:f>
            <x14:dxf>
              <font>
                <b val="0"/>
                <i val="0"/>
                <color rgb="FF00B050"/>
              </font>
            </x14:dxf>
          </x14:cfRule>
          <xm:sqref>A37:A40</xm:sqref>
        </x14:conditionalFormatting>
        <x14:conditionalFormatting xmlns:xm="http://schemas.microsoft.com/office/excel/2006/main">
          <x14:cfRule type="containsText" priority="37" operator="containsText" id="{272B4022-697C-43B9-90A6-97F714B14774}">
            <xm:f>NOT(ISERROR(SEARCH("add *155# upselling category",A42)))</xm:f>
            <xm:f>"add *155# upselling category"</xm:f>
            <x14:dxf>
              <font>
                <b val="0"/>
                <i val="0"/>
                <color rgb="FF00B050"/>
              </font>
            </x14:dxf>
          </x14:cfRule>
          <xm:sqref>A42:A43</xm:sqref>
        </x14:conditionalFormatting>
        <x14:conditionalFormatting xmlns:xm="http://schemas.microsoft.com/office/excel/2006/main">
          <x14:cfRule type="containsText" priority="1" operator="containsText" id="{656ADDBD-4C6D-4D64-9380-6AE3B39945FB}">
            <xm:f>NOT(ISERROR(SEARCH("add *155# upselling category",A45)))</xm:f>
            <xm:f>"add *155# upselling category"</xm:f>
            <x14:dxf>
              <font>
                <b val="0"/>
                <i val="0"/>
                <color rgb="FF00B050"/>
              </font>
            </x14:dxf>
          </x14:cfRule>
          <xm:sqref>A45:A46</xm:sqref>
        </x14:conditionalFormatting>
        <x14:conditionalFormatting xmlns:xm="http://schemas.microsoft.com/office/excel/2006/main">
          <x14:cfRule type="containsText" priority="14" operator="containsText" id="{4849964B-FE33-43AB-A478-22C7C077268C}">
            <xm:f>NOT(ISERROR(SEARCH("add *155# upselling category",A49)))</xm:f>
            <xm:f>"add *155# upselling category"</xm:f>
            <x14:dxf>
              <font>
                <b val="0"/>
                <i val="0"/>
                <color rgb="FF00B050"/>
              </font>
            </x14:dxf>
          </x14:cfRule>
          <xm:sqref>A49:A50</xm:sqref>
        </x14:conditionalFormatting>
        <x14:conditionalFormatting xmlns:xm="http://schemas.microsoft.com/office/excel/2006/main">
          <x14:cfRule type="containsText" priority="13" operator="containsText" id="{26411016-5AEA-4954-97C6-1C67A43F3CEB}">
            <xm:f>NOT(ISERROR(SEARCH("add *155# upselling category",A52)))</xm:f>
            <xm:f>"add *155# upselling category"</xm:f>
            <x14:dxf>
              <font>
                <b val="0"/>
                <i val="0"/>
                <color rgb="FF00B050"/>
              </font>
            </x14:dxf>
          </x14:cfRule>
          <xm:sqref>A52</xm:sqref>
        </x14:conditionalFormatting>
        <x14:conditionalFormatting xmlns:xm="http://schemas.microsoft.com/office/excel/2006/main">
          <x14:cfRule type="containsText" priority="10" operator="containsText" id="{0DEC5EDA-C9CA-4EFE-9EED-A4523A97433D}">
            <xm:f>NOT(ISERROR(SEARCH("add *155# upselling category",A54)))</xm:f>
            <xm:f>"add *155# upselling category"</xm:f>
            <x14:dxf>
              <font>
                <b val="0"/>
                <i val="0"/>
                <color rgb="FF00B050"/>
              </font>
            </x14:dxf>
          </x14:cfRule>
          <xm:sqref>A54:A57</xm:sqref>
        </x14:conditionalFormatting>
        <x14:conditionalFormatting xmlns:xm="http://schemas.microsoft.com/office/excel/2006/main">
          <x14:cfRule type="containsText" priority="9" operator="containsText" id="{439D7CBE-E0E7-4FBB-8E8B-6A82018B9B5D}">
            <xm:f>NOT(ISERROR(SEARCH("add *155# upselling category",A59)))</xm:f>
            <xm:f>"add *155# upselling category"</xm:f>
            <x14:dxf>
              <font>
                <b val="0"/>
                <i val="0"/>
                <color rgb="FF00B050"/>
              </font>
            </x14:dxf>
          </x14:cfRule>
          <xm:sqref>A59</xm:sqref>
        </x14:conditionalFormatting>
        <x14:conditionalFormatting xmlns:xm="http://schemas.microsoft.com/office/excel/2006/main">
          <x14:cfRule type="containsText" priority="8" operator="containsText" id="{99AA5FE3-5F3B-4B56-BBFB-C95423323C84}">
            <xm:f>NOT(ISERROR(SEARCH("add *155# upselling category",A61)))</xm:f>
            <xm:f>"add *155# upselling category"</xm:f>
            <x14:dxf>
              <font>
                <b val="0"/>
                <i val="0"/>
                <color rgb="FF00B050"/>
              </font>
            </x14:dxf>
          </x14:cfRule>
          <xm:sqref>A61</xm:sqref>
        </x14:conditionalFormatting>
        <x14:conditionalFormatting xmlns:xm="http://schemas.microsoft.com/office/excel/2006/main">
          <x14:cfRule type="containsText" priority="2" operator="containsText" id="{06CA1AF8-D044-4050-AB02-FF4CDA32ACED}">
            <xm:f>NOT(ISERROR(SEARCH("add *155# upselling category",A63)))</xm:f>
            <xm:f>"add *155# upselling category"</xm:f>
            <x14:dxf>
              <font>
                <b val="0"/>
                <i val="0"/>
                <color rgb="FF00B050"/>
              </font>
            </x14:dxf>
          </x14:cfRule>
          <xm:sqref>A63:A68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29"/>
  <sheetViews>
    <sheetView zoomScale="175" zoomScaleNormal="175" workbookViewId="0">
      <selection activeCell="E6" sqref="E6"/>
    </sheetView>
  </sheetViews>
  <sheetFormatPr defaultRowHeight="15"/>
  <cols>
    <col min="1" max="1" width="9.7109375" bestFit="1" customWidth="1"/>
    <col min="5" max="5" width="11.140625" bestFit="1" customWidth="1"/>
    <col min="6" max="6" width="11.28515625" bestFit="1" customWidth="1"/>
    <col min="7" max="7" width="13.5703125" style="89" bestFit="1" customWidth="1"/>
    <col min="8" max="8" width="9.140625" style="89"/>
    <col min="9" max="9" width="11.42578125" customWidth="1"/>
    <col min="10" max="10" width="14" customWidth="1"/>
  </cols>
  <sheetData>
    <row r="1" spans="1:7">
      <c r="A1" s="194" t="s">
        <v>901</v>
      </c>
      <c r="B1" s="194"/>
      <c r="C1" s="194"/>
      <c r="D1" s="194"/>
      <c r="E1" s="194"/>
      <c r="F1" s="147" t="s">
        <v>827</v>
      </c>
      <c r="G1" s="163" t="s">
        <v>825</v>
      </c>
    </row>
    <row r="2" spans="1:7">
      <c r="A2" s="91" t="s">
        <v>287</v>
      </c>
      <c r="B2" s="92" t="s">
        <v>288</v>
      </c>
      <c r="C2" s="93" t="s">
        <v>906</v>
      </c>
      <c r="D2" s="93" t="s">
        <v>905</v>
      </c>
      <c r="E2" s="93" t="s">
        <v>904</v>
      </c>
      <c r="F2" s="147" t="s">
        <v>805</v>
      </c>
      <c r="G2" s="164" t="s">
        <v>826</v>
      </c>
    </row>
    <row r="3" spans="1:7">
      <c r="A3" s="95">
        <v>65</v>
      </c>
      <c r="B3" s="95">
        <v>75</v>
      </c>
      <c r="C3" s="96">
        <f>A3-B5+A5-C5</f>
        <v>-11</v>
      </c>
      <c r="D3" s="165">
        <f>B3-B5+A5-C5</f>
        <v>-1</v>
      </c>
      <c r="E3" s="165">
        <f>95-B5+A5-C5</f>
        <v>19</v>
      </c>
      <c r="F3" s="147" t="s">
        <v>828</v>
      </c>
      <c r="G3" s="163" t="s">
        <v>829</v>
      </c>
    </row>
    <row r="4" spans="1:7">
      <c r="A4" s="123" t="s">
        <v>765</v>
      </c>
      <c r="B4" s="124" t="s">
        <v>766</v>
      </c>
      <c r="C4" s="123" t="s">
        <v>767</v>
      </c>
      <c r="D4" s="123" t="s">
        <v>794</v>
      </c>
      <c r="E4" s="91" t="s">
        <v>287</v>
      </c>
      <c r="F4" s="147" t="s">
        <v>805</v>
      </c>
      <c r="G4" s="163" t="s">
        <v>829</v>
      </c>
    </row>
    <row r="5" spans="1:7">
      <c r="A5" s="94">
        <v>25</v>
      </c>
      <c r="B5" s="94">
        <v>69</v>
      </c>
      <c r="C5" s="94">
        <v>32</v>
      </c>
      <c r="D5" s="94">
        <f>B5-A5+C5</f>
        <v>76</v>
      </c>
      <c r="E5" s="143" t="s">
        <v>823</v>
      </c>
      <c r="F5" s="147" t="s">
        <v>831</v>
      </c>
      <c r="G5" s="163" t="s">
        <v>829</v>
      </c>
    </row>
    <row r="6" spans="1:7">
      <c r="C6" s="89"/>
      <c r="E6" t="s">
        <v>903</v>
      </c>
      <c r="F6" s="147" t="s">
        <v>805</v>
      </c>
      <c r="G6" s="164" t="s">
        <v>830</v>
      </c>
    </row>
    <row r="7" spans="1:7">
      <c r="C7" s="89"/>
      <c r="F7" s="162" t="s">
        <v>902</v>
      </c>
      <c r="G7" s="163"/>
    </row>
    <row r="8" spans="1:7">
      <c r="F8" s="147" t="s">
        <v>900</v>
      </c>
      <c r="G8" s="163" t="s">
        <v>889</v>
      </c>
    </row>
    <row r="29" spans="11:12">
      <c r="K29" s="159"/>
      <c r="L29" s="159"/>
    </row>
  </sheetData>
  <mergeCells count="1">
    <mergeCell ref="A1:E1"/>
  </mergeCells>
  <phoneticPr fontId="56" type="noConversion"/>
  <pageMargins left="0.7" right="0.7" top="0.75" bottom="0.75" header="0.3" footer="0.3"/>
  <pageSetup orientation="portrait" r:id="rId1"/>
  <ignoredErrors>
    <ignoredError sqref="F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E2:K224"/>
  <sheetViews>
    <sheetView zoomScale="85" zoomScaleNormal="85" workbookViewId="0">
      <selection activeCell="F224" sqref="F224"/>
    </sheetView>
  </sheetViews>
  <sheetFormatPr defaultRowHeight="15"/>
  <cols>
    <col min="5" max="5" width="40.5703125" customWidth="1"/>
    <col min="6" max="6" width="81.28515625" bestFit="1" customWidth="1"/>
    <col min="7" max="7" width="9.140625" customWidth="1"/>
    <col min="8" max="8" width="16.5703125" customWidth="1"/>
  </cols>
  <sheetData>
    <row r="2" spans="5:6">
      <c r="F2" s="89"/>
    </row>
    <row r="3" spans="5:6" ht="70.5" customHeight="1">
      <c r="E3" s="80" t="s">
        <v>100</v>
      </c>
      <c r="F3" s="99" t="s">
        <v>99</v>
      </c>
    </row>
    <row r="4" spans="5:6" ht="50.25" customHeight="1">
      <c r="E4" s="85" t="s">
        <v>290</v>
      </c>
      <c r="F4" s="99" t="s">
        <v>289</v>
      </c>
    </row>
    <row r="5" spans="5:6">
      <c r="E5" s="85" t="s">
        <v>101</v>
      </c>
      <c r="F5" s="99" t="s">
        <v>98</v>
      </c>
    </row>
    <row r="6" spans="5:6" ht="47.25">
      <c r="E6" s="83" t="s">
        <v>248</v>
      </c>
      <c r="F6" s="84" t="s">
        <v>247</v>
      </c>
    </row>
    <row r="24" spans="5:7">
      <c r="F24" t="s">
        <v>306</v>
      </c>
    </row>
    <row r="26" spans="5:7">
      <c r="E26">
        <v>30405</v>
      </c>
      <c r="F26" t="s">
        <v>757</v>
      </c>
    </row>
    <row r="27" spans="5:7">
      <c r="E27">
        <v>1601</v>
      </c>
      <c r="F27" t="s">
        <v>761</v>
      </c>
    </row>
    <row r="31" spans="5:7">
      <c r="G31" t="s">
        <v>759</v>
      </c>
    </row>
    <row r="32" spans="5:7">
      <c r="G32" t="s">
        <v>760</v>
      </c>
    </row>
    <row r="82" spans="5:5">
      <c r="E82" t="s">
        <v>760</v>
      </c>
    </row>
    <row r="134" spans="5:6">
      <c r="E134">
        <v>10113</v>
      </c>
      <c r="F134" t="s">
        <v>816</v>
      </c>
    </row>
    <row r="135" spans="5:6">
      <c r="E135">
        <v>10198</v>
      </c>
      <c r="F135" t="s">
        <v>815</v>
      </c>
    </row>
    <row r="154" spans="5:6">
      <c r="E154" s="80" t="s">
        <v>821</v>
      </c>
      <c r="F154" t="s">
        <v>822</v>
      </c>
    </row>
    <row r="155" spans="5:6">
      <c r="F155" s="145" t="s">
        <v>824</v>
      </c>
    </row>
    <row r="176" spans="5:6" ht="76.5">
      <c r="E176" s="127" t="s">
        <v>885</v>
      </c>
      <c r="F176" s="128" t="s">
        <v>886</v>
      </c>
    </row>
    <row r="177" spans="5:6" ht="102">
      <c r="E177" s="127" t="s">
        <v>887</v>
      </c>
      <c r="F177" s="128" t="s">
        <v>888</v>
      </c>
    </row>
    <row r="220" spans="6:11" ht="15.75" thickBot="1">
      <c r="F220" s="153" t="s">
        <v>891</v>
      </c>
      <c r="G220" s="154">
        <v>46088.999305555553</v>
      </c>
      <c r="H220" s="153" t="s">
        <v>892</v>
      </c>
    </row>
    <row r="221" spans="6:11">
      <c r="F221" t="s">
        <v>893</v>
      </c>
    </row>
    <row r="222" spans="6:11" ht="15.75" thickBot="1">
      <c r="F222" s="153" t="s">
        <v>894</v>
      </c>
      <c r="G222" s="153">
        <v>12</v>
      </c>
      <c r="H222" s="153" t="s">
        <v>895</v>
      </c>
      <c r="I222" s="153">
        <v>5000</v>
      </c>
      <c r="J222" s="155">
        <v>46089.083029108799</v>
      </c>
      <c r="K222" s="153" t="s">
        <v>896</v>
      </c>
    </row>
    <row r="223" spans="6:11" ht="15.75" thickBot="1">
      <c r="F223" s="153" t="s">
        <v>894</v>
      </c>
      <c r="G223" s="153">
        <v>12</v>
      </c>
      <c r="H223" s="153" t="s">
        <v>895</v>
      </c>
      <c r="I223" s="153">
        <v>5000</v>
      </c>
      <c r="J223" s="155">
        <v>46089.083029108799</v>
      </c>
      <c r="K223" s="153" t="s">
        <v>896</v>
      </c>
    </row>
    <row r="224" spans="6:11" ht="22.5">
      <c r="F224" s="156" t="s">
        <v>897</v>
      </c>
    </row>
  </sheetData>
  <hyperlinks>
    <hyperlink ref="F5" r:id="rId1" xr:uid="{00000000-0004-0000-0300-000000000000}"/>
    <hyperlink ref="F3" r:id="rId2" xr:uid="{00000000-0004-0000-0300-000001000000}"/>
    <hyperlink ref="F6" r:id="rId3" xr:uid="{00000000-0004-0000-0300-000002000000}"/>
    <hyperlink ref="F4" r:id="rId4" xr:uid="{00000000-0004-0000-0300-000003000000}"/>
  </hyperlinks>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x14:cfRule type="containsText" priority="1" operator="containsText" id="{BBFE5724-4824-43F1-A50B-A65B19CF1978}">
            <xm:f>NOT(ISERROR(SEARCH("add *155# upselling category",E176)))</xm:f>
            <xm:f>"add *155# upselling category"</xm:f>
            <x14:dxf>
              <font>
                <b val="0"/>
                <i val="0"/>
                <color rgb="FF00B050"/>
              </font>
            </x14:dxf>
          </x14:cfRule>
          <xm:sqref>E176:E177</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4"/>
  <sheetViews>
    <sheetView zoomScaleNormal="100" workbookViewId="0">
      <selection activeCell="D35" sqref="D35"/>
    </sheetView>
  </sheetViews>
  <sheetFormatPr defaultRowHeight="15"/>
  <cols>
    <col min="1" max="1" width="17.140625" customWidth="1"/>
    <col min="2" max="2" width="25.42578125" customWidth="1"/>
    <col min="3" max="3" width="29.7109375" customWidth="1"/>
    <col min="4" max="4" width="17" customWidth="1"/>
    <col min="5" max="5" width="39.28515625" customWidth="1"/>
    <col min="6" max="6" width="27.28515625" customWidth="1"/>
    <col min="7" max="7" width="20.7109375" customWidth="1"/>
    <col min="8" max="8" width="22" customWidth="1"/>
    <col min="10" max="10" width="14.42578125" customWidth="1"/>
  </cols>
  <sheetData>
    <row r="1" spans="1:5" ht="17.25" thickTop="1" thickBot="1">
      <c r="A1" s="68" t="s">
        <v>209</v>
      </c>
      <c r="B1" s="68" t="s">
        <v>210</v>
      </c>
      <c r="C1" s="68" t="s">
        <v>211</v>
      </c>
      <c r="D1" s="69" t="s">
        <v>212</v>
      </c>
      <c r="E1" s="69" t="s">
        <v>217</v>
      </c>
    </row>
    <row r="2" spans="1:5" ht="44.25" customHeight="1" thickTop="1" thickBot="1">
      <c r="A2" s="195" t="s">
        <v>213</v>
      </c>
      <c r="B2" s="195"/>
      <c r="C2" s="195"/>
      <c r="D2" s="195"/>
      <c r="E2" s="196"/>
    </row>
    <row r="3" spans="1:5" ht="45" customHeight="1" thickTop="1" thickBot="1">
      <c r="A3" s="70" t="s">
        <v>214</v>
      </c>
      <c r="B3" s="70"/>
      <c r="C3" s="70" t="s">
        <v>215</v>
      </c>
      <c r="D3" s="71" t="s">
        <v>216</v>
      </c>
      <c r="E3" s="70" t="s">
        <v>225</v>
      </c>
    </row>
    <row r="4" spans="1:5" ht="15.75" thickTop="1"/>
  </sheetData>
  <mergeCells count="1">
    <mergeCell ref="A2:E2"/>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5121" r:id="rId4">
          <objectPr defaultSize="0" autoPict="0" r:id="rId5">
            <anchor moveWithCells="1">
              <from>
                <xdr:col>1</xdr:col>
                <xdr:colOff>152400</xdr:colOff>
                <xdr:row>2</xdr:row>
                <xdr:rowOff>76200</xdr:rowOff>
              </from>
              <to>
                <xdr:col>1</xdr:col>
                <xdr:colOff>1533525</xdr:colOff>
                <xdr:row>2</xdr:row>
                <xdr:rowOff>495300</xdr:rowOff>
              </to>
            </anchor>
          </objectPr>
        </oleObject>
      </mc:Choice>
      <mc:Fallback>
        <oleObject progId="Packager Shell Object" shapeId="5121" r:id="rId4"/>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12"/>
  <sheetViews>
    <sheetView workbookViewId="0">
      <selection activeCell="I13" sqref="I13"/>
    </sheetView>
  </sheetViews>
  <sheetFormatPr defaultRowHeight="15"/>
  <cols>
    <col min="1" max="2" width="20" bestFit="1" customWidth="1"/>
    <col min="3" max="3" width="16.7109375" bestFit="1" customWidth="1"/>
    <col min="4" max="4" width="8.5703125" bestFit="1" customWidth="1"/>
    <col min="5" max="5" width="17.85546875" bestFit="1" customWidth="1"/>
    <col min="6" max="6" width="48.28515625" bestFit="1" customWidth="1"/>
  </cols>
  <sheetData>
    <row r="1" spans="1:6">
      <c r="A1" s="82" t="s">
        <v>238</v>
      </c>
      <c r="B1" s="82" t="s">
        <v>237</v>
      </c>
      <c r="C1" s="82" t="s">
        <v>236</v>
      </c>
      <c r="D1" s="82" t="s">
        <v>235</v>
      </c>
      <c r="E1" s="82" t="s">
        <v>234</v>
      </c>
      <c r="F1" s="82" t="s">
        <v>233</v>
      </c>
    </row>
    <row r="2" spans="1:6">
      <c r="A2" s="81">
        <v>100</v>
      </c>
      <c r="B2" s="80">
        <f>A2*0.08</f>
        <v>8</v>
      </c>
      <c r="C2" s="80">
        <f>A2+B2</f>
        <v>108</v>
      </c>
      <c r="D2" s="79">
        <f>C2*0.14</f>
        <v>15.120000000000001</v>
      </c>
      <c r="E2" s="78">
        <f>C2+D2</f>
        <v>123.12</v>
      </c>
      <c r="F2" s="78">
        <f>SUM(E2+12.31)</f>
        <v>135.43</v>
      </c>
    </row>
    <row r="6" spans="1:6">
      <c r="A6" s="77" t="s">
        <v>231</v>
      </c>
      <c r="B6" s="77" t="s">
        <v>232</v>
      </c>
    </row>
    <row r="7" spans="1:6">
      <c r="A7" s="75">
        <v>2560</v>
      </c>
      <c r="B7" s="76">
        <f>A7*70%</f>
        <v>1792</v>
      </c>
    </row>
    <row r="11" spans="1:6">
      <c r="A11" s="77" t="s">
        <v>232</v>
      </c>
      <c r="B11" s="77" t="s">
        <v>231</v>
      </c>
    </row>
    <row r="12" spans="1:6">
      <c r="A12" s="76">
        <v>260</v>
      </c>
      <c r="B12" s="75">
        <f>A12*100/70</f>
        <v>371.42857142857144</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4D11E-FD75-44EF-8BBF-7EBDA716AE2E}">
  <sheetPr codeName="Sheet10"/>
  <dimension ref="A1:F143"/>
  <sheetViews>
    <sheetView tabSelected="1" workbookViewId="0">
      <selection activeCell="G10" sqref="G10"/>
    </sheetView>
  </sheetViews>
  <sheetFormatPr defaultRowHeight="15"/>
  <cols>
    <col min="1" max="1" width="8" style="150" bestFit="1" customWidth="1"/>
    <col min="2" max="2" width="10.7109375" bestFit="1" customWidth="1"/>
    <col min="3" max="3" width="13.42578125" bestFit="1" customWidth="1"/>
    <col min="4" max="4" width="47.28515625" customWidth="1"/>
  </cols>
  <sheetData>
    <row r="1" spans="1:6" ht="19.5" thickBot="1">
      <c r="A1" s="242" t="s">
        <v>922</v>
      </c>
      <c r="B1" s="242" t="s">
        <v>923</v>
      </c>
      <c r="C1" s="243" t="s">
        <v>925</v>
      </c>
      <c r="D1" s="243" t="s">
        <v>924</v>
      </c>
    </row>
    <row r="2" spans="1:6" ht="26.25" thickBot="1">
      <c r="A2" s="150">
        <v>1</v>
      </c>
      <c r="B2" s="122" t="s">
        <v>2</v>
      </c>
      <c r="C2" s="122" t="s">
        <v>926</v>
      </c>
      <c r="D2" s="132" t="s">
        <v>890</v>
      </c>
      <c r="F2" s="243" t="s">
        <v>944</v>
      </c>
    </row>
    <row r="3" spans="1:6" ht="38.25">
      <c r="A3" s="150">
        <v>2</v>
      </c>
      <c r="B3" s="122" t="s">
        <v>2</v>
      </c>
      <c r="C3" s="122" t="s">
        <v>926</v>
      </c>
      <c r="D3" s="133" t="s">
        <v>752</v>
      </c>
      <c r="F3" s="245" t="s">
        <v>943</v>
      </c>
    </row>
    <row r="4" spans="1:6" ht="15.75" thickBot="1">
      <c r="A4" s="150">
        <v>3</v>
      </c>
      <c r="B4" s="122" t="s">
        <v>2</v>
      </c>
      <c r="C4" s="122" t="s">
        <v>926</v>
      </c>
      <c r="D4" s="168" t="s">
        <v>275</v>
      </c>
    </row>
    <row r="5" spans="1:6" ht="25.5">
      <c r="A5" s="150">
        <v>4</v>
      </c>
      <c r="B5" s="13" t="s">
        <v>3</v>
      </c>
      <c r="C5" s="13" t="s">
        <v>3</v>
      </c>
      <c r="D5" s="169" t="s">
        <v>10</v>
      </c>
    </row>
    <row r="6" spans="1:6">
      <c r="A6" s="150">
        <v>5</v>
      </c>
      <c r="B6" s="13" t="s">
        <v>3</v>
      </c>
      <c r="C6" s="13" t="s">
        <v>3</v>
      </c>
      <c r="D6" s="134" t="s">
        <v>8</v>
      </c>
    </row>
    <row r="7" spans="1:6">
      <c r="A7" s="150">
        <v>6</v>
      </c>
      <c r="B7" s="13" t="s">
        <v>3</v>
      </c>
      <c r="C7" s="13" t="s">
        <v>3</v>
      </c>
      <c r="D7" s="134" t="s">
        <v>7</v>
      </c>
    </row>
    <row r="8" spans="1:6">
      <c r="A8" s="150">
        <v>7</v>
      </c>
      <c r="B8" s="13" t="s">
        <v>3</v>
      </c>
      <c r="C8" s="13" t="s">
        <v>3</v>
      </c>
      <c r="D8" s="134" t="s">
        <v>0</v>
      </c>
    </row>
    <row r="9" spans="1:6">
      <c r="A9" s="150">
        <v>8</v>
      </c>
      <c r="B9" s="13" t="s">
        <v>3</v>
      </c>
      <c r="C9" s="13" t="s">
        <v>3</v>
      </c>
      <c r="D9" s="134" t="s">
        <v>1</v>
      </c>
    </row>
    <row r="10" spans="1:6" ht="51">
      <c r="A10" s="150">
        <v>9</v>
      </c>
      <c r="B10" s="13" t="s">
        <v>81</v>
      </c>
      <c r="C10" s="13" t="s">
        <v>3</v>
      </c>
      <c r="D10" s="134" t="s">
        <v>914</v>
      </c>
    </row>
    <row r="11" spans="1:6">
      <c r="A11" s="150">
        <v>10</v>
      </c>
      <c r="B11" s="13" t="s">
        <v>3</v>
      </c>
      <c r="C11" s="13" t="s">
        <v>3</v>
      </c>
      <c r="D11" s="134" t="s">
        <v>5</v>
      </c>
    </row>
    <row r="12" spans="1:6" ht="25.5">
      <c r="A12" s="150">
        <v>11</v>
      </c>
      <c r="B12" s="13" t="s">
        <v>3</v>
      </c>
      <c r="C12" s="13" t="s">
        <v>3</v>
      </c>
      <c r="D12" s="134" t="s">
        <v>11</v>
      </c>
    </row>
    <row r="13" spans="1:6" ht="25.5">
      <c r="A13" s="150">
        <v>12</v>
      </c>
      <c r="B13" s="13" t="s">
        <v>3</v>
      </c>
      <c r="C13" s="13" t="s">
        <v>3</v>
      </c>
      <c r="D13" s="134" t="s">
        <v>17</v>
      </c>
    </row>
    <row r="14" spans="1:6">
      <c r="A14" s="150">
        <v>13</v>
      </c>
      <c r="B14" s="13" t="s">
        <v>33</v>
      </c>
      <c r="C14" s="13" t="s">
        <v>927</v>
      </c>
      <c r="D14" s="134" t="s">
        <v>12</v>
      </c>
    </row>
    <row r="15" spans="1:6">
      <c r="A15" s="150">
        <v>14</v>
      </c>
      <c r="B15" s="13" t="s">
        <v>36</v>
      </c>
      <c r="C15" s="13" t="s">
        <v>927</v>
      </c>
      <c r="D15" s="134" t="s">
        <v>35</v>
      </c>
    </row>
    <row r="16" spans="1:6" ht="25.5">
      <c r="A16" s="150">
        <v>15</v>
      </c>
      <c r="B16" s="176" t="s">
        <v>40</v>
      </c>
      <c r="C16" s="13" t="s">
        <v>927</v>
      </c>
      <c r="D16" s="134" t="s">
        <v>105</v>
      </c>
    </row>
    <row r="17" spans="1:4">
      <c r="A17" s="150">
        <v>16</v>
      </c>
      <c r="B17" s="13" t="s">
        <v>72</v>
      </c>
      <c r="C17" s="13" t="s">
        <v>927</v>
      </c>
      <c r="D17" s="134" t="s">
        <v>71</v>
      </c>
    </row>
    <row r="18" spans="1:4" ht="25.5">
      <c r="A18" s="150">
        <v>17</v>
      </c>
      <c r="B18" s="13" t="s">
        <v>84</v>
      </c>
      <c r="C18" s="13" t="s">
        <v>927</v>
      </c>
      <c r="D18" s="134" t="s">
        <v>106</v>
      </c>
    </row>
    <row r="19" spans="1:4">
      <c r="A19" s="150">
        <v>18</v>
      </c>
      <c r="B19" s="13" t="s">
        <v>3</v>
      </c>
      <c r="C19" s="13" t="s">
        <v>927</v>
      </c>
      <c r="D19" s="134" t="s">
        <v>75</v>
      </c>
    </row>
    <row r="20" spans="1:4">
      <c r="A20" s="150">
        <v>19</v>
      </c>
      <c r="B20" s="13" t="s">
        <v>90</v>
      </c>
      <c r="C20" s="13" t="s">
        <v>927</v>
      </c>
      <c r="D20" s="134" t="s">
        <v>12</v>
      </c>
    </row>
    <row r="21" spans="1:4">
      <c r="A21" s="150">
        <v>20</v>
      </c>
      <c r="B21" s="13" t="s">
        <v>112</v>
      </c>
      <c r="C21" s="13" t="s">
        <v>927</v>
      </c>
      <c r="D21" s="134" t="s">
        <v>202</v>
      </c>
    </row>
    <row r="22" spans="1:4">
      <c r="A22" s="150">
        <v>21</v>
      </c>
      <c r="B22" s="13" t="s">
        <v>112</v>
      </c>
      <c r="C22" s="13" t="s">
        <v>927</v>
      </c>
      <c r="D22" s="134" t="s">
        <v>111</v>
      </c>
    </row>
    <row r="23" spans="1:4" ht="45">
      <c r="A23" s="150">
        <v>22</v>
      </c>
      <c r="B23" s="158" t="s">
        <v>115</v>
      </c>
      <c r="C23" s="13" t="s">
        <v>927</v>
      </c>
      <c r="D23" s="134" t="s">
        <v>113</v>
      </c>
    </row>
    <row r="24" spans="1:4" ht="25.5">
      <c r="A24" s="150">
        <v>23</v>
      </c>
      <c r="B24" s="122"/>
      <c r="C24" s="13" t="s">
        <v>927</v>
      </c>
      <c r="D24" s="134" t="s">
        <v>114</v>
      </c>
    </row>
    <row r="25" spans="1:4" ht="25.5">
      <c r="A25" s="150">
        <v>24</v>
      </c>
      <c r="B25" s="13" t="s">
        <v>77</v>
      </c>
      <c r="C25" s="13" t="s">
        <v>927</v>
      </c>
      <c r="D25" s="134" t="s">
        <v>764</v>
      </c>
    </row>
    <row r="26" spans="1:4">
      <c r="A26" s="150">
        <v>25</v>
      </c>
      <c r="B26" s="13" t="s">
        <v>110</v>
      </c>
      <c r="C26" s="13" t="s">
        <v>927</v>
      </c>
      <c r="D26" s="134" t="s">
        <v>109</v>
      </c>
    </row>
    <row r="27" spans="1:4" ht="25.5">
      <c r="A27" s="150">
        <v>26</v>
      </c>
      <c r="B27" s="13" t="s">
        <v>82</v>
      </c>
      <c r="C27" s="13" t="s">
        <v>927</v>
      </c>
      <c r="D27" s="134" t="s">
        <v>9</v>
      </c>
    </row>
    <row r="28" spans="1:4" ht="25.5">
      <c r="A28" s="150">
        <v>27</v>
      </c>
      <c r="B28" s="13" t="s">
        <v>41</v>
      </c>
      <c r="C28" s="13" t="s">
        <v>927</v>
      </c>
      <c r="D28" s="134" t="s">
        <v>284</v>
      </c>
    </row>
    <row r="29" spans="1:4">
      <c r="A29" s="150">
        <v>28</v>
      </c>
      <c r="B29" s="13" t="s">
        <v>281</v>
      </c>
      <c r="C29" s="13" t="s">
        <v>927</v>
      </c>
      <c r="D29" s="134" t="s">
        <v>280</v>
      </c>
    </row>
    <row r="30" spans="1:4" ht="38.25">
      <c r="A30" s="150">
        <v>29</v>
      </c>
      <c r="B30" s="13" t="s">
        <v>281</v>
      </c>
      <c r="C30" s="13" t="s">
        <v>927</v>
      </c>
      <c r="D30" s="134" t="s">
        <v>283</v>
      </c>
    </row>
    <row r="31" spans="1:4" ht="25.5">
      <c r="A31" s="150">
        <v>30</v>
      </c>
      <c r="B31" s="13" t="s">
        <v>311</v>
      </c>
      <c r="C31" s="13" t="s">
        <v>927</v>
      </c>
      <c r="D31" s="134" t="s">
        <v>310</v>
      </c>
    </row>
    <row r="32" spans="1:4" ht="25.5">
      <c r="A32" s="150">
        <v>31</v>
      </c>
      <c r="B32" s="13" t="s">
        <v>774</v>
      </c>
      <c r="C32" s="13" t="s">
        <v>927</v>
      </c>
      <c r="D32" s="134" t="s">
        <v>773</v>
      </c>
    </row>
    <row r="33" spans="1:4">
      <c r="A33" s="150">
        <v>32</v>
      </c>
      <c r="B33" s="13"/>
      <c r="C33" s="13" t="s">
        <v>927</v>
      </c>
      <c r="D33" s="134"/>
    </row>
    <row r="34" spans="1:4">
      <c r="A34" s="150">
        <v>33</v>
      </c>
      <c r="B34" s="13" t="s">
        <v>218</v>
      </c>
      <c r="C34" s="13" t="s">
        <v>927</v>
      </c>
      <c r="D34" s="134" t="s">
        <v>219</v>
      </c>
    </row>
    <row r="35" spans="1:4" ht="25.5">
      <c r="A35" s="150">
        <v>34</v>
      </c>
      <c r="B35" s="13" t="s">
        <v>218</v>
      </c>
      <c r="C35" s="13" t="s">
        <v>927</v>
      </c>
      <c r="D35" s="134" t="s">
        <v>226</v>
      </c>
    </row>
    <row r="36" spans="1:4" ht="25.5">
      <c r="A36" s="150">
        <v>35</v>
      </c>
      <c r="B36" s="13" t="s">
        <v>229</v>
      </c>
      <c r="C36" s="13" t="s">
        <v>927</v>
      </c>
      <c r="D36" s="134" t="s">
        <v>227</v>
      </c>
    </row>
    <row r="37" spans="1:4" ht="30">
      <c r="A37" s="150">
        <v>36</v>
      </c>
      <c r="B37" s="13" t="s">
        <v>270</v>
      </c>
      <c r="C37" s="13" t="s">
        <v>927</v>
      </c>
      <c r="D37" s="134" t="s">
        <v>42</v>
      </c>
    </row>
    <row r="38" spans="1:4" ht="30">
      <c r="A38" s="150">
        <v>37</v>
      </c>
      <c r="B38" s="13" t="s">
        <v>270</v>
      </c>
      <c r="C38" s="13" t="s">
        <v>927</v>
      </c>
      <c r="D38" s="134" t="s">
        <v>43</v>
      </c>
    </row>
    <row r="39" spans="1:4">
      <c r="A39" s="150">
        <v>38</v>
      </c>
      <c r="B39" s="13" t="s">
        <v>268</v>
      </c>
      <c r="C39" s="13" t="s">
        <v>927</v>
      </c>
      <c r="D39" s="10" t="s">
        <v>269</v>
      </c>
    </row>
    <row r="40" spans="1:4" ht="38.25">
      <c r="A40" s="150">
        <v>39</v>
      </c>
      <c r="B40" s="13" t="s">
        <v>241</v>
      </c>
      <c r="C40" s="13" t="s">
        <v>927</v>
      </c>
      <c r="D40" s="10" t="s">
        <v>762</v>
      </c>
    </row>
    <row r="41" spans="1:4" ht="51">
      <c r="A41" s="150">
        <v>40</v>
      </c>
      <c r="B41" s="13" t="s">
        <v>241</v>
      </c>
      <c r="C41" s="13" t="s">
        <v>927</v>
      </c>
      <c r="D41" s="10" t="s">
        <v>240</v>
      </c>
    </row>
    <row r="42" spans="1:4" ht="25.5">
      <c r="A42" s="150">
        <v>41</v>
      </c>
      <c r="B42" s="13" t="s">
        <v>76</v>
      </c>
      <c r="C42" s="13" t="s">
        <v>927</v>
      </c>
      <c r="D42" s="10" t="s">
        <v>266</v>
      </c>
    </row>
    <row r="43" spans="1:4" ht="25.5">
      <c r="A43" s="150">
        <v>42</v>
      </c>
      <c r="B43" s="13" t="s">
        <v>39</v>
      </c>
      <c r="C43" s="13" t="s">
        <v>927</v>
      </c>
      <c r="D43" s="10" t="s">
        <v>85</v>
      </c>
    </row>
    <row r="44" spans="1:4" ht="63.75">
      <c r="A44" s="150">
        <v>43</v>
      </c>
      <c r="B44" s="13" t="s">
        <v>731</v>
      </c>
      <c r="C44" s="13" t="s">
        <v>927</v>
      </c>
      <c r="D44" s="10" t="s">
        <v>751</v>
      </c>
    </row>
    <row r="45" spans="1:4" ht="51">
      <c r="A45" s="150">
        <v>44</v>
      </c>
      <c r="B45" s="13" t="s">
        <v>312</v>
      </c>
      <c r="C45" s="13" t="s">
        <v>83</v>
      </c>
      <c r="D45" s="10" t="s">
        <v>763</v>
      </c>
    </row>
    <row r="46" spans="1:4" ht="38.25">
      <c r="A46" s="150">
        <v>45</v>
      </c>
      <c r="B46" s="13" t="s">
        <v>312</v>
      </c>
      <c r="C46" s="13" t="s">
        <v>83</v>
      </c>
      <c r="D46" s="10" t="s">
        <v>313</v>
      </c>
    </row>
    <row r="47" spans="1:4" ht="63.75">
      <c r="A47" s="150">
        <v>46</v>
      </c>
      <c r="B47" s="13" t="s">
        <v>83</v>
      </c>
      <c r="C47" s="13" t="s">
        <v>83</v>
      </c>
      <c r="D47" s="10" t="s">
        <v>928</v>
      </c>
    </row>
    <row r="48" spans="1:4" ht="51">
      <c r="A48" s="150">
        <v>47</v>
      </c>
      <c r="B48" s="13" t="s">
        <v>16</v>
      </c>
      <c r="C48" s="13" t="s">
        <v>927</v>
      </c>
      <c r="D48" s="10" t="s">
        <v>929</v>
      </c>
    </row>
    <row r="49" spans="1:4" ht="25.5">
      <c r="A49" s="150">
        <v>48</v>
      </c>
      <c r="B49" s="13" t="s">
        <v>32</v>
      </c>
      <c r="C49" s="13" t="s">
        <v>927</v>
      </c>
      <c r="D49" s="10" t="s">
        <v>911</v>
      </c>
    </row>
    <row r="50" spans="1:4" ht="63.75">
      <c r="A50" s="150">
        <v>49</v>
      </c>
      <c r="B50" s="13" t="s">
        <v>809</v>
      </c>
      <c r="C50" s="13" t="s">
        <v>927</v>
      </c>
      <c r="D50" s="10" t="s">
        <v>810</v>
      </c>
    </row>
    <row r="51" spans="1:4" ht="51">
      <c r="A51" s="150">
        <v>50</v>
      </c>
      <c r="B51" s="171" t="s">
        <v>749</v>
      </c>
      <c r="C51" s="244" t="s">
        <v>931</v>
      </c>
      <c r="D51" s="10" t="s">
        <v>930</v>
      </c>
    </row>
    <row r="52" spans="1:4" ht="25.5">
      <c r="A52" s="150">
        <v>51</v>
      </c>
      <c r="B52" s="171" t="s">
        <v>884</v>
      </c>
      <c r="C52" s="244" t="s">
        <v>931</v>
      </c>
      <c r="D52" s="10" t="s">
        <v>883</v>
      </c>
    </row>
    <row r="53" spans="1:4" ht="63.75">
      <c r="A53" s="150">
        <v>52</v>
      </c>
      <c r="B53" s="170" t="s">
        <v>208</v>
      </c>
      <c r="C53" s="244" t="s">
        <v>931</v>
      </c>
      <c r="D53" s="10" t="s">
        <v>833</v>
      </c>
    </row>
    <row r="54" spans="1:4" ht="76.5">
      <c r="A54" s="150">
        <v>53</v>
      </c>
      <c r="B54" s="170" t="s">
        <v>208</v>
      </c>
      <c r="C54" s="244" t="s">
        <v>931</v>
      </c>
      <c r="D54" s="10" t="s">
        <v>834</v>
      </c>
    </row>
    <row r="55" spans="1:4" ht="25.5">
      <c r="A55" s="150">
        <v>54</v>
      </c>
      <c r="B55" s="170" t="s">
        <v>208</v>
      </c>
      <c r="C55" s="244" t="s">
        <v>931</v>
      </c>
      <c r="D55" s="10" t="s">
        <v>835</v>
      </c>
    </row>
    <row r="56" spans="1:4" ht="51">
      <c r="A56" s="150">
        <v>55</v>
      </c>
      <c r="B56" s="170" t="s">
        <v>208</v>
      </c>
      <c r="C56" s="244" t="s">
        <v>931</v>
      </c>
      <c r="D56" s="10" t="s">
        <v>836</v>
      </c>
    </row>
    <row r="57" spans="1:4" ht="25.5">
      <c r="A57" s="150">
        <v>56</v>
      </c>
      <c r="B57" s="170" t="s">
        <v>208</v>
      </c>
      <c r="C57" s="244" t="s">
        <v>931</v>
      </c>
      <c r="D57" s="10" t="s">
        <v>932</v>
      </c>
    </row>
    <row r="58" spans="1:4">
      <c r="A58" s="150">
        <v>57</v>
      </c>
      <c r="B58" s="170" t="s">
        <v>208</v>
      </c>
      <c r="C58" s="244" t="s">
        <v>931</v>
      </c>
      <c r="D58" s="10" t="s">
        <v>267</v>
      </c>
    </row>
    <row r="59" spans="1:4">
      <c r="A59" s="150">
        <v>58</v>
      </c>
      <c r="B59" s="136" t="s">
        <v>91</v>
      </c>
      <c r="C59" s="244" t="s">
        <v>933</v>
      </c>
      <c r="D59" s="10" t="s">
        <v>6</v>
      </c>
    </row>
    <row r="60" spans="1:4">
      <c r="A60" s="150">
        <v>59</v>
      </c>
      <c r="B60" s="136" t="s">
        <v>91</v>
      </c>
      <c r="C60" s="244" t="s">
        <v>933</v>
      </c>
      <c r="D60" s="10" t="s">
        <v>277</v>
      </c>
    </row>
    <row r="61" spans="1:4" ht="38.25">
      <c r="A61" s="150">
        <v>60</v>
      </c>
      <c r="B61" s="136" t="s">
        <v>91</v>
      </c>
      <c r="C61" s="244" t="s">
        <v>933</v>
      </c>
      <c r="D61" s="10" t="s">
        <v>770</v>
      </c>
    </row>
    <row r="62" spans="1:4" ht="25.5">
      <c r="A62" s="150">
        <v>61</v>
      </c>
      <c r="B62" s="136" t="s">
        <v>91</v>
      </c>
      <c r="C62" s="244" t="s">
        <v>933</v>
      </c>
      <c r="D62" s="10" t="s">
        <v>817</v>
      </c>
    </row>
    <row r="63" spans="1:4" ht="25.5">
      <c r="A63" s="150">
        <v>62</v>
      </c>
      <c r="B63" s="136" t="s">
        <v>91</v>
      </c>
      <c r="C63" s="244" t="s">
        <v>933</v>
      </c>
      <c r="D63" s="10" t="s">
        <v>278</v>
      </c>
    </row>
    <row r="64" spans="1:4" ht="25.5">
      <c r="A64" s="150">
        <v>63</v>
      </c>
      <c r="B64" s="136" t="s">
        <v>31</v>
      </c>
      <c r="C64" s="244" t="s">
        <v>933</v>
      </c>
      <c r="D64" s="10" t="s">
        <v>30</v>
      </c>
    </row>
    <row r="65" spans="1:4" ht="25.5">
      <c r="A65" s="150">
        <v>64</v>
      </c>
      <c r="B65" s="136" t="s">
        <v>91</v>
      </c>
      <c r="C65" s="244" t="s">
        <v>933</v>
      </c>
      <c r="D65" s="10" t="s">
        <v>747</v>
      </c>
    </row>
    <row r="66" spans="1:4" ht="25.5">
      <c r="A66" s="150">
        <v>65</v>
      </c>
      <c r="B66" s="136" t="s">
        <v>91</v>
      </c>
      <c r="C66" s="244" t="s">
        <v>933</v>
      </c>
      <c r="D66" s="10" t="s">
        <v>285</v>
      </c>
    </row>
    <row r="67" spans="1:4">
      <c r="A67" s="150">
        <v>66</v>
      </c>
      <c r="B67" s="136" t="s">
        <v>91</v>
      </c>
      <c r="C67" s="244" t="s">
        <v>933</v>
      </c>
      <c r="D67" s="10" t="s">
        <v>746</v>
      </c>
    </row>
    <row r="68" spans="1:4" ht="25.5">
      <c r="A68" s="150">
        <v>67</v>
      </c>
      <c r="B68" s="136" t="s">
        <v>91</v>
      </c>
      <c r="C68" s="244" t="s">
        <v>933</v>
      </c>
      <c r="D68" s="10" t="s">
        <v>789</v>
      </c>
    </row>
    <row r="69" spans="1:4" ht="51">
      <c r="A69" s="150">
        <v>68</v>
      </c>
      <c r="B69" s="136" t="s">
        <v>91</v>
      </c>
      <c r="C69" s="244" t="s">
        <v>933</v>
      </c>
      <c r="D69" s="10" t="s">
        <v>795</v>
      </c>
    </row>
    <row r="70" spans="1:4" ht="51">
      <c r="A70" s="150">
        <v>69</v>
      </c>
      <c r="B70" s="136" t="s">
        <v>91</v>
      </c>
      <c r="C70" s="244" t="s">
        <v>933</v>
      </c>
      <c r="D70" s="10" t="s">
        <v>934</v>
      </c>
    </row>
    <row r="71" spans="1:4" ht="51">
      <c r="A71" s="150">
        <v>70</v>
      </c>
      <c r="B71" s="136" t="s">
        <v>91</v>
      </c>
      <c r="C71" s="244" t="s">
        <v>933</v>
      </c>
      <c r="D71" s="10" t="s">
        <v>808</v>
      </c>
    </row>
    <row r="72" spans="1:4" ht="30">
      <c r="A72" s="150">
        <v>71</v>
      </c>
      <c r="B72" s="136" t="s">
        <v>791</v>
      </c>
      <c r="C72" s="244" t="s">
        <v>933</v>
      </c>
      <c r="D72" s="10" t="s">
        <v>787</v>
      </c>
    </row>
    <row r="73" spans="1:4" ht="25.5">
      <c r="A73" s="150">
        <v>72</v>
      </c>
      <c r="B73" s="136" t="s">
        <v>31</v>
      </c>
      <c r="C73" s="244" t="s">
        <v>933</v>
      </c>
      <c r="D73" s="10" t="s">
        <v>793</v>
      </c>
    </row>
    <row r="74" spans="1:4" ht="38.25">
      <c r="A74" s="150">
        <v>73</v>
      </c>
      <c r="B74" s="136" t="s">
        <v>31</v>
      </c>
      <c r="C74" s="244" t="s">
        <v>933</v>
      </c>
      <c r="D74" s="10" t="s">
        <v>790</v>
      </c>
    </row>
    <row r="75" spans="1:4" ht="25.5">
      <c r="A75" s="150">
        <v>74</v>
      </c>
      <c r="B75" s="136" t="s">
        <v>797</v>
      </c>
      <c r="C75" s="244" t="s">
        <v>933</v>
      </c>
      <c r="D75" s="10" t="s">
        <v>796</v>
      </c>
    </row>
    <row r="76" spans="1:4" ht="25.5">
      <c r="A76" s="150">
        <v>75</v>
      </c>
      <c r="B76" s="136"/>
      <c r="C76" s="244" t="s">
        <v>933</v>
      </c>
      <c r="D76" s="10" t="s">
        <v>806</v>
      </c>
    </row>
    <row r="77" spans="1:4" ht="45">
      <c r="A77" s="150">
        <v>76</v>
      </c>
      <c r="B77" s="138" t="s">
        <v>29</v>
      </c>
      <c r="C77" s="244" t="s">
        <v>21</v>
      </c>
      <c r="D77" s="10" t="s">
        <v>28</v>
      </c>
    </row>
    <row r="78" spans="1:4" ht="38.25">
      <c r="A78" s="150">
        <v>77</v>
      </c>
      <c r="B78" s="138" t="s">
        <v>21</v>
      </c>
      <c r="C78" s="244" t="s">
        <v>21</v>
      </c>
      <c r="D78" s="10" t="s">
        <v>818</v>
      </c>
    </row>
    <row r="79" spans="1:4" ht="45">
      <c r="A79" s="150">
        <v>78</v>
      </c>
      <c r="B79" s="138" t="s">
        <v>271</v>
      </c>
      <c r="C79" s="244" t="s">
        <v>21</v>
      </c>
      <c r="D79" s="10" t="s">
        <v>912</v>
      </c>
    </row>
    <row r="80" spans="1:4" ht="30">
      <c r="A80" s="150">
        <v>79</v>
      </c>
      <c r="B80" s="138" t="s">
        <v>21</v>
      </c>
      <c r="C80" s="244" t="s">
        <v>21</v>
      </c>
      <c r="D80" s="10" t="s">
        <v>239</v>
      </c>
    </row>
    <row r="81" spans="1:4" ht="30">
      <c r="A81" s="150">
        <v>80</v>
      </c>
      <c r="B81" s="138" t="s">
        <v>21</v>
      </c>
      <c r="C81" s="244" t="s">
        <v>21</v>
      </c>
      <c r="D81" s="10" t="s">
        <v>909</v>
      </c>
    </row>
    <row r="82" spans="1:4" ht="30">
      <c r="A82" s="150">
        <v>81</v>
      </c>
      <c r="B82" s="138" t="s">
        <v>21</v>
      </c>
      <c r="C82" s="244" t="s">
        <v>21</v>
      </c>
      <c r="D82" s="10" t="s">
        <v>273</v>
      </c>
    </row>
    <row r="83" spans="1:4" ht="30">
      <c r="A83" s="150">
        <v>82</v>
      </c>
      <c r="B83" s="138" t="s">
        <v>21</v>
      </c>
      <c r="C83" s="244" t="s">
        <v>21</v>
      </c>
      <c r="D83" s="10" t="s">
        <v>286</v>
      </c>
    </row>
    <row r="84" spans="1:4" ht="51">
      <c r="A84" s="150">
        <v>83</v>
      </c>
      <c r="B84" s="138" t="s">
        <v>21</v>
      </c>
      <c r="C84" s="244" t="s">
        <v>21</v>
      </c>
      <c r="D84" s="10" t="s">
        <v>772</v>
      </c>
    </row>
    <row r="85" spans="1:4" ht="38.25">
      <c r="A85" s="150">
        <v>84</v>
      </c>
      <c r="B85" s="139" t="s">
        <v>15</v>
      </c>
      <c r="C85" s="244" t="s">
        <v>935</v>
      </c>
      <c r="D85" s="10" t="s">
        <v>34</v>
      </c>
    </row>
    <row r="86" spans="1:4" ht="25.5">
      <c r="A86" s="150">
        <v>85</v>
      </c>
      <c r="B86" s="139" t="s">
        <v>15</v>
      </c>
      <c r="C86" s="244" t="s">
        <v>935</v>
      </c>
      <c r="D86" s="10" t="s">
        <v>20</v>
      </c>
    </row>
    <row r="87" spans="1:4" ht="63.75">
      <c r="A87" s="150">
        <v>86</v>
      </c>
      <c r="B87" s="139" t="s">
        <v>15</v>
      </c>
      <c r="C87" s="244" t="s">
        <v>935</v>
      </c>
      <c r="D87" s="10" t="s">
        <v>22</v>
      </c>
    </row>
    <row r="88" spans="1:4" ht="63.75">
      <c r="A88" s="150">
        <v>87</v>
      </c>
      <c r="B88" s="139" t="s">
        <v>24</v>
      </c>
      <c r="C88" s="244" t="s">
        <v>935</v>
      </c>
      <c r="D88" s="10" t="s">
        <v>936</v>
      </c>
    </row>
    <row r="89" spans="1:4" ht="51">
      <c r="A89" s="150">
        <v>88</v>
      </c>
      <c r="B89" s="139" t="s">
        <v>26</v>
      </c>
      <c r="C89" s="244" t="s">
        <v>935</v>
      </c>
      <c r="D89" s="10" t="s">
        <v>937</v>
      </c>
    </row>
    <row r="90" spans="1:4">
      <c r="A90" s="150">
        <v>89</v>
      </c>
      <c r="B90" s="139" t="s">
        <v>15</v>
      </c>
      <c r="C90" s="244" t="s">
        <v>935</v>
      </c>
      <c r="D90" s="10" t="s">
        <v>13</v>
      </c>
    </row>
    <row r="91" spans="1:4" ht="51">
      <c r="A91" s="150">
        <v>90</v>
      </c>
      <c r="B91" s="139" t="s">
        <v>15</v>
      </c>
      <c r="C91" s="244" t="s">
        <v>935</v>
      </c>
      <c r="D91" s="10" t="s">
        <v>938</v>
      </c>
    </row>
    <row r="92" spans="1:4" ht="25.5">
      <c r="A92" s="150">
        <v>91</v>
      </c>
      <c r="B92" s="139" t="s">
        <v>15</v>
      </c>
      <c r="C92" s="244" t="s">
        <v>935</v>
      </c>
      <c r="D92" s="10" t="s">
        <v>86</v>
      </c>
    </row>
    <row r="93" spans="1:4" ht="38.25">
      <c r="A93" s="150">
        <v>92</v>
      </c>
      <c r="B93" s="139" t="s">
        <v>108</v>
      </c>
      <c r="C93" s="244" t="s">
        <v>935</v>
      </c>
      <c r="D93" s="10" t="s">
        <v>107</v>
      </c>
    </row>
    <row r="94" spans="1:4" ht="26.25" thickBot="1">
      <c r="A94" s="150">
        <v>93</v>
      </c>
      <c r="B94" s="157" t="s">
        <v>87</v>
      </c>
      <c r="C94" s="244" t="s">
        <v>935</v>
      </c>
      <c r="D94" s="173" t="s">
        <v>88</v>
      </c>
    </row>
    <row r="95" spans="1:4" ht="15.75" thickBot="1">
      <c r="A95" s="150">
        <v>94</v>
      </c>
      <c r="B95" s="172"/>
      <c r="C95" s="244" t="s">
        <v>935</v>
      </c>
      <c r="D95" s="175" t="s">
        <v>89</v>
      </c>
    </row>
    <row r="96" spans="1:4" ht="30">
      <c r="A96" s="150">
        <v>95</v>
      </c>
      <c r="B96" s="140" t="s">
        <v>19</v>
      </c>
      <c r="C96" s="244" t="s">
        <v>935</v>
      </c>
      <c r="D96" s="174" t="s">
        <v>939</v>
      </c>
    </row>
    <row r="97" spans="1:4" ht="30">
      <c r="A97" s="150">
        <v>96</v>
      </c>
      <c r="B97" s="140" t="s">
        <v>19</v>
      </c>
      <c r="C97" s="244" t="s">
        <v>935</v>
      </c>
      <c r="D97" s="10" t="s">
        <v>267</v>
      </c>
    </row>
    <row r="98" spans="1:4">
      <c r="A98" s="150">
        <v>97</v>
      </c>
      <c r="B98" s="140"/>
      <c r="C98" s="244" t="s">
        <v>935</v>
      </c>
      <c r="D98" s="10"/>
    </row>
    <row r="99" spans="1:4" ht="25.5">
      <c r="A99" s="150">
        <v>98</v>
      </c>
      <c r="B99" s="139" t="s">
        <v>15</v>
      </c>
      <c r="C99" s="244" t="s">
        <v>935</v>
      </c>
      <c r="D99" s="10" t="s">
        <v>314</v>
      </c>
    </row>
    <row r="100" spans="1:4" ht="25.5">
      <c r="A100" s="150">
        <v>99</v>
      </c>
      <c r="B100" s="139" t="s">
        <v>15</v>
      </c>
      <c r="C100" s="244" t="s">
        <v>935</v>
      </c>
      <c r="D100" s="10" t="s">
        <v>300</v>
      </c>
    </row>
    <row r="101" spans="1:4" ht="25.5">
      <c r="A101" s="150">
        <v>100</v>
      </c>
      <c r="B101" s="142" t="s">
        <v>801</v>
      </c>
      <c r="C101" s="244" t="s">
        <v>935</v>
      </c>
      <c r="D101" s="10" t="s">
        <v>800</v>
      </c>
    </row>
    <row r="102" spans="1:4" ht="38.25">
      <c r="A102" s="150">
        <v>101</v>
      </c>
      <c r="B102" s="87" t="s">
        <v>265</v>
      </c>
      <c r="C102" s="244" t="s">
        <v>940</v>
      </c>
      <c r="D102" s="10" t="s">
        <v>116</v>
      </c>
    </row>
    <row r="103" spans="1:4" ht="25.5">
      <c r="A103" s="150">
        <v>102</v>
      </c>
      <c r="B103" s="87" t="s">
        <v>265</v>
      </c>
      <c r="C103" s="244" t="s">
        <v>940</v>
      </c>
      <c r="D103" s="10" t="s">
        <v>802</v>
      </c>
    </row>
    <row r="104" spans="1:4" ht="25.5">
      <c r="A104" s="150">
        <v>103</v>
      </c>
      <c r="B104" s="87" t="s">
        <v>265</v>
      </c>
      <c r="C104" s="244" t="s">
        <v>940</v>
      </c>
      <c r="D104" s="10" t="s">
        <v>803</v>
      </c>
    </row>
    <row r="105" spans="1:4">
      <c r="A105" s="150">
        <v>104</v>
      </c>
      <c r="B105" s="87" t="s">
        <v>265</v>
      </c>
      <c r="C105" s="244" t="s">
        <v>940</v>
      </c>
      <c r="D105" s="10" t="s">
        <v>249</v>
      </c>
    </row>
    <row r="106" spans="1:4">
      <c r="A106" s="150">
        <v>105</v>
      </c>
      <c r="B106" s="87" t="s">
        <v>265</v>
      </c>
      <c r="C106" s="244" t="s">
        <v>940</v>
      </c>
      <c r="D106" s="10" t="s">
        <v>250</v>
      </c>
    </row>
    <row r="107" spans="1:4" ht="38.25">
      <c r="A107" s="150">
        <v>106</v>
      </c>
      <c r="B107" s="87" t="s">
        <v>265</v>
      </c>
      <c r="C107" s="244" t="s">
        <v>940</v>
      </c>
      <c r="D107" s="10" t="s">
        <v>941</v>
      </c>
    </row>
    <row r="108" spans="1:4" ht="51">
      <c r="A108" s="150">
        <v>107</v>
      </c>
      <c r="B108" s="87" t="s">
        <v>265</v>
      </c>
      <c r="C108" s="244" t="s">
        <v>940</v>
      </c>
      <c r="D108" s="10" t="s">
        <v>272</v>
      </c>
    </row>
    <row r="109" spans="1:4" ht="25.5">
      <c r="A109" s="150">
        <v>108</v>
      </c>
      <c r="B109" s="87" t="s">
        <v>265</v>
      </c>
      <c r="C109" s="244" t="s">
        <v>940</v>
      </c>
      <c r="D109" s="10" t="s">
        <v>291</v>
      </c>
    </row>
    <row r="110" spans="1:4" ht="25.5">
      <c r="A110" s="150">
        <v>109</v>
      </c>
      <c r="B110" s="87" t="s">
        <v>265</v>
      </c>
      <c r="C110" s="244" t="s">
        <v>940</v>
      </c>
      <c r="D110" s="10" t="s">
        <v>788</v>
      </c>
    </row>
    <row r="111" spans="1:4" ht="25.5">
      <c r="A111" s="150">
        <v>110</v>
      </c>
      <c r="B111" s="87" t="s">
        <v>265</v>
      </c>
      <c r="C111" s="244" t="s">
        <v>940</v>
      </c>
      <c r="D111" s="10" t="s">
        <v>792</v>
      </c>
    </row>
    <row r="112" spans="1:4" ht="25.5">
      <c r="A112" s="150">
        <v>111</v>
      </c>
      <c r="B112" s="144" t="s">
        <v>37</v>
      </c>
      <c r="C112" s="244" t="s">
        <v>37</v>
      </c>
      <c r="D112" s="10" t="s">
        <v>244</v>
      </c>
    </row>
    <row r="113" spans="1:4" ht="89.25">
      <c r="A113" s="150">
        <v>112</v>
      </c>
      <c r="B113" s="144" t="s">
        <v>37</v>
      </c>
      <c r="C113" s="244" t="s">
        <v>37</v>
      </c>
      <c r="D113" s="10" t="s">
        <v>758</v>
      </c>
    </row>
    <row r="114" spans="1:4" ht="38.25">
      <c r="A114" s="150">
        <v>113</v>
      </c>
      <c r="B114" s="144" t="s">
        <v>37</v>
      </c>
      <c r="C114" s="244" t="s">
        <v>37</v>
      </c>
      <c r="D114" s="10" t="s">
        <v>38</v>
      </c>
    </row>
    <row r="115" spans="1:4" ht="25.5">
      <c r="A115" s="150">
        <v>114</v>
      </c>
      <c r="B115" s="144" t="s">
        <v>37</v>
      </c>
      <c r="C115" s="244" t="s">
        <v>37</v>
      </c>
      <c r="D115" s="10" t="s">
        <v>276</v>
      </c>
    </row>
    <row r="116" spans="1:4" ht="30">
      <c r="A116" s="150">
        <v>115</v>
      </c>
      <c r="B116" s="144" t="s">
        <v>19</v>
      </c>
      <c r="C116" s="244" t="s">
        <v>37</v>
      </c>
      <c r="D116" s="10" t="s">
        <v>939</v>
      </c>
    </row>
    <row r="117" spans="1:4" ht="25.5">
      <c r="A117" s="150">
        <v>116</v>
      </c>
      <c r="B117" s="144" t="s">
        <v>37</v>
      </c>
      <c r="C117" s="244" t="s">
        <v>37</v>
      </c>
      <c r="D117" s="10" t="s">
        <v>753</v>
      </c>
    </row>
    <row r="118" spans="1:4" ht="38.25">
      <c r="A118" s="150">
        <v>117</v>
      </c>
      <c r="B118" s="144" t="s">
        <v>37</v>
      </c>
      <c r="C118" s="244" t="s">
        <v>37</v>
      </c>
      <c r="D118" s="10" t="s">
        <v>771</v>
      </c>
    </row>
    <row r="119" spans="1:4" ht="25.5">
      <c r="A119" s="150">
        <v>118</v>
      </c>
      <c r="B119" s="144" t="s">
        <v>37</v>
      </c>
      <c r="C119" s="244" t="s">
        <v>37</v>
      </c>
      <c r="D119" s="10" t="s">
        <v>756</v>
      </c>
    </row>
    <row r="120" spans="1:4">
      <c r="A120" s="150">
        <v>119</v>
      </c>
      <c r="B120" s="144" t="s">
        <v>37</v>
      </c>
      <c r="C120" s="244" t="s">
        <v>37</v>
      </c>
      <c r="D120" s="10" t="s">
        <v>798</v>
      </c>
    </row>
    <row r="121" spans="1:4" ht="25.5">
      <c r="A121" s="150">
        <v>120</v>
      </c>
      <c r="B121" s="144" t="s">
        <v>37</v>
      </c>
      <c r="C121" s="244" t="s">
        <v>37</v>
      </c>
      <c r="D121" s="10" t="s">
        <v>799</v>
      </c>
    </row>
    <row r="122" spans="1:4" ht="25.5">
      <c r="A122" s="150">
        <v>121</v>
      </c>
      <c r="B122" s="144" t="s">
        <v>37</v>
      </c>
      <c r="C122" s="244" t="s">
        <v>37</v>
      </c>
      <c r="D122" s="10" t="s">
        <v>814</v>
      </c>
    </row>
    <row r="123" spans="1:4" ht="51">
      <c r="A123" s="150">
        <v>122</v>
      </c>
      <c r="B123" s="144" t="s">
        <v>37</v>
      </c>
      <c r="C123" s="244" t="s">
        <v>37</v>
      </c>
      <c r="D123" s="10" t="s">
        <v>832</v>
      </c>
    </row>
    <row r="124" spans="1:4">
      <c r="A124" s="150">
        <v>123</v>
      </c>
      <c r="B124" s="144" t="s">
        <v>37</v>
      </c>
      <c r="C124" s="244" t="s">
        <v>37</v>
      </c>
      <c r="D124" s="10" t="s">
        <v>242</v>
      </c>
    </row>
    <row r="125" spans="1:4" ht="25.5">
      <c r="A125" s="150">
        <v>124</v>
      </c>
      <c r="B125" s="141" t="s">
        <v>94</v>
      </c>
      <c r="C125" s="244" t="s">
        <v>942</v>
      </c>
      <c r="D125" s="10" t="s">
        <v>93</v>
      </c>
    </row>
    <row r="126" spans="1:4" ht="25.5">
      <c r="A126" s="150">
        <v>125</v>
      </c>
      <c r="B126" s="141" t="s">
        <v>72</v>
      </c>
      <c r="C126" s="244" t="s">
        <v>942</v>
      </c>
      <c r="D126" s="10" t="s">
        <v>73</v>
      </c>
    </row>
    <row r="127" spans="1:4">
      <c r="A127" s="150">
        <v>126</v>
      </c>
      <c r="B127" s="130" t="s">
        <v>53</v>
      </c>
      <c r="C127" s="244" t="s">
        <v>942</v>
      </c>
      <c r="D127" s="134" t="s">
        <v>813</v>
      </c>
    </row>
    <row r="128" spans="1:4" ht="38.25">
      <c r="A128" s="150">
        <v>127</v>
      </c>
      <c r="B128" s="130" t="s">
        <v>53</v>
      </c>
      <c r="C128" s="244" t="s">
        <v>942</v>
      </c>
      <c r="D128" s="134" t="s">
        <v>104</v>
      </c>
    </row>
    <row r="129" spans="1:4" ht="38.25">
      <c r="A129" s="150">
        <v>128</v>
      </c>
      <c r="B129" s="137" t="s">
        <v>69</v>
      </c>
      <c r="C129" s="244" t="s">
        <v>942</v>
      </c>
      <c r="D129" s="10" t="s">
        <v>274</v>
      </c>
    </row>
    <row r="130" spans="1:4" ht="25.5">
      <c r="A130" s="150">
        <v>129</v>
      </c>
      <c r="B130" s="137" t="s">
        <v>69</v>
      </c>
      <c r="C130" s="244" t="s">
        <v>942</v>
      </c>
      <c r="D130" s="10" t="s">
        <v>769</v>
      </c>
    </row>
    <row r="131" spans="1:4">
      <c r="A131" s="150">
        <v>130</v>
      </c>
      <c r="B131" s="137" t="s">
        <v>69</v>
      </c>
      <c r="C131" s="244" t="s">
        <v>942</v>
      </c>
      <c r="D131" s="10" t="s">
        <v>70</v>
      </c>
    </row>
    <row r="132" spans="1:4">
      <c r="A132" s="150">
        <v>131</v>
      </c>
      <c r="B132" s="137" t="s">
        <v>69</v>
      </c>
      <c r="C132" s="244" t="s">
        <v>942</v>
      </c>
      <c r="D132" s="10" t="s">
        <v>279</v>
      </c>
    </row>
    <row r="133" spans="1:4" ht="25.5">
      <c r="A133" s="150">
        <v>132</v>
      </c>
      <c r="B133" s="137" t="s">
        <v>733</v>
      </c>
      <c r="C133" s="244" t="s">
        <v>942</v>
      </c>
      <c r="D133" s="10" t="s">
        <v>732</v>
      </c>
    </row>
    <row r="134" spans="1:4" ht="25.5">
      <c r="A134" s="150">
        <v>133</v>
      </c>
      <c r="B134" s="177" t="s">
        <v>913</v>
      </c>
      <c r="C134" s="244" t="s">
        <v>942</v>
      </c>
      <c r="D134" s="10" t="s">
        <v>819</v>
      </c>
    </row>
    <row r="135" spans="1:4" ht="25.5">
      <c r="A135" s="150">
        <v>134</v>
      </c>
      <c r="B135" s="177" t="s">
        <v>913</v>
      </c>
      <c r="C135" s="244" t="s">
        <v>942</v>
      </c>
      <c r="D135" s="10" t="s">
        <v>819</v>
      </c>
    </row>
    <row r="136" spans="1:4" ht="25.5">
      <c r="A136" s="150">
        <v>135</v>
      </c>
      <c r="B136" s="136" t="s">
        <v>91</v>
      </c>
      <c r="C136" s="244" t="s">
        <v>942</v>
      </c>
      <c r="D136" s="10" t="s">
        <v>804</v>
      </c>
    </row>
    <row r="137" spans="1:4">
      <c r="A137" s="150">
        <v>136</v>
      </c>
      <c r="B137" s="13" t="s">
        <v>3</v>
      </c>
      <c r="C137" s="244" t="s">
        <v>942</v>
      </c>
      <c r="D137" s="134" t="s">
        <v>23</v>
      </c>
    </row>
    <row r="138" spans="1:4" ht="30">
      <c r="A138" s="150">
        <v>137</v>
      </c>
      <c r="B138" s="9" t="s">
        <v>910</v>
      </c>
      <c r="C138" s="244" t="s">
        <v>942</v>
      </c>
      <c r="D138" s="10" t="s">
        <v>807</v>
      </c>
    </row>
    <row r="139" spans="1:4">
      <c r="A139" s="150">
        <v>138</v>
      </c>
      <c r="B139" s="9" t="s">
        <v>103</v>
      </c>
      <c r="C139" s="244" t="s">
        <v>942</v>
      </c>
      <c r="D139" s="10" t="s">
        <v>102</v>
      </c>
    </row>
    <row r="140" spans="1:4">
      <c r="A140" s="150">
        <v>139</v>
      </c>
      <c r="B140" s="13" t="s">
        <v>915</v>
      </c>
      <c r="C140" s="244" t="s">
        <v>942</v>
      </c>
      <c r="D140" s="134" t="s">
        <v>4</v>
      </c>
    </row>
    <row r="141" spans="1:4" ht="25.5">
      <c r="A141" s="150">
        <v>140</v>
      </c>
      <c r="B141" s="136" t="s">
        <v>91</v>
      </c>
      <c r="C141" s="244" t="s">
        <v>942</v>
      </c>
      <c r="D141" s="10" t="s">
        <v>804</v>
      </c>
    </row>
    <row r="142" spans="1:4" ht="25.5">
      <c r="A142" s="150">
        <v>141</v>
      </c>
      <c r="B142" s="13" t="s">
        <v>809</v>
      </c>
      <c r="C142" s="244" t="s">
        <v>942</v>
      </c>
      <c r="D142" s="10" t="s">
        <v>812</v>
      </c>
    </row>
    <row r="143" spans="1:4" ht="38.25">
      <c r="A143" s="150">
        <v>142</v>
      </c>
      <c r="B143" s="138" t="s">
        <v>21</v>
      </c>
      <c r="C143" s="244" t="s">
        <v>942</v>
      </c>
      <c r="D143" s="10" t="s">
        <v>811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230"/>
  <sheetViews>
    <sheetView topLeftCell="A25" workbookViewId="0">
      <selection activeCell="E15" sqref="E15:F15"/>
    </sheetView>
  </sheetViews>
  <sheetFormatPr defaultRowHeight="15"/>
  <cols>
    <col min="1" max="1" width="0.85546875" customWidth="1"/>
    <col min="2" max="2" width="9.42578125" customWidth="1"/>
    <col min="3" max="3" width="21" customWidth="1"/>
    <col min="4" max="6" width="40.7109375" customWidth="1"/>
    <col min="7" max="7" width="28.28515625" customWidth="1"/>
    <col min="8" max="8" width="6" customWidth="1"/>
    <col min="9" max="9" width="0.85546875" customWidth="1"/>
  </cols>
  <sheetData>
    <row r="1" spans="1:9" ht="4.5" customHeight="1">
      <c r="A1" s="100"/>
      <c r="B1" s="100"/>
      <c r="C1" s="100"/>
      <c r="D1" s="100"/>
      <c r="E1" s="100"/>
      <c r="F1" s="100"/>
      <c r="G1" s="100"/>
      <c r="H1" s="100"/>
      <c r="I1" s="100"/>
    </row>
    <row r="2" spans="1:9">
      <c r="A2" s="100"/>
      <c r="B2" s="203" t="s">
        <v>316</v>
      </c>
      <c r="C2" s="204"/>
      <c r="D2" s="204"/>
      <c r="E2" s="204"/>
      <c r="F2" s="204"/>
      <c r="G2" s="204"/>
      <c r="H2" s="205"/>
      <c r="I2" s="100"/>
    </row>
    <row r="3" spans="1:9">
      <c r="A3" s="100"/>
      <c r="B3" s="206"/>
      <c r="C3" s="207"/>
      <c r="D3" s="207"/>
      <c r="E3" s="207"/>
      <c r="F3" s="207"/>
      <c r="G3" s="207"/>
      <c r="H3" s="208"/>
      <c r="I3" s="100"/>
    </row>
    <row r="4" spans="1:9" ht="15.75" thickBot="1">
      <c r="A4" s="100"/>
      <c r="I4" s="100"/>
    </row>
    <row r="5" spans="1:9" ht="15" customHeight="1">
      <c r="A5" s="100"/>
      <c r="D5" s="209" t="s">
        <v>317</v>
      </c>
      <c r="E5" s="210"/>
      <c r="F5" s="211"/>
      <c r="I5" s="100"/>
    </row>
    <row r="6" spans="1:9" ht="15" customHeight="1">
      <c r="A6" s="100"/>
      <c r="D6" s="212"/>
      <c r="E6" s="213"/>
      <c r="F6" s="214"/>
      <c r="I6" s="100"/>
    </row>
    <row r="7" spans="1:9" ht="15.75" customHeight="1" thickBot="1">
      <c r="A7" s="100"/>
      <c r="D7" s="215"/>
      <c r="E7" s="216"/>
      <c r="F7" s="217"/>
      <c r="I7" s="100"/>
    </row>
    <row r="8" spans="1:9" ht="15.75" thickBot="1">
      <c r="A8" s="100"/>
      <c r="I8" s="100"/>
    </row>
    <row r="9" spans="1:9" ht="15.75" customHeight="1">
      <c r="A9" s="100"/>
      <c r="D9" s="218" t="s">
        <v>318</v>
      </c>
      <c r="E9" s="219"/>
      <c r="F9" s="220"/>
      <c r="I9" s="100"/>
    </row>
    <row r="10" spans="1:9" ht="15" customHeight="1">
      <c r="A10" s="100"/>
      <c r="D10" s="221"/>
      <c r="E10" s="222"/>
      <c r="F10" s="223"/>
      <c r="I10" s="100"/>
    </row>
    <row r="11" spans="1:9" ht="15" customHeight="1" thickBot="1">
      <c r="A11" s="100"/>
      <c r="D11" s="224"/>
      <c r="E11" s="225"/>
      <c r="F11" s="226"/>
      <c r="I11" s="100"/>
    </row>
    <row r="12" spans="1:9" ht="15.75" customHeight="1" thickBot="1">
      <c r="A12" s="100"/>
      <c r="I12" s="100"/>
    </row>
    <row r="13" spans="1:9" ht="35.1" customHeight="1" thickBot="1">
      <c r="A13" s="100"/>
      <c r="D13" s="227" t="s">
        <v>319</v>
      </c>
      <c r="E13" s="228"/>
      <c r="F13" s="229"/>
      <c r="I13" s="100"/>
    </row>
    <row r="14" spans="1:9" ht="30" customHeight="1">
      <c r="A14" s="100"/>
      <c r="I14" s="100"/>
    </row>
    <row r="15" spans="1:9" ht="45" customHeight="1">
      <c r="A15" s="100"/>
      <c r="D15" s="101" t="s">
        <v>320</v>
      </c>
      <c r="E15" s="230" t="str">
        <f>VLOOKUP(D13,[1]Sheet2!J:K,2,0)</f>
        <v>https://10.53.215.20/#/login</v>
      </c>
      <c r="F15" s="231"/>
      <c r="I15" s="100"/>
    </row>
    <row r="16" spans="1:9" ht="21.95" customHeight="1">
      <c r="A16" s="100"/>
      <c r="I16" s="100"/>
    </row>
    <row r="17" spans="1:9" ht="27" customHeight="1">
      <c r="A17" s="100"/>
      <c r="D17" s="102" t="s">
        <v>321</v>
      </c>
      <c r="F17" s="102" t="s">
        <v>322</v>
      </c>
      <c r="I17" s="100"/>
    </row>
    <row r="18" spans="1:9" ht="27" customHeight="1">
      <c r="A18" s="100"/>
      <c r="D18" s="103" t="str">
        <f>VLOOKUP(D13,[1]Sheet2!J:L,3,0)</f>
        <v>Profile Username</v>
      </c>
      <c r="F18" s="103" t="str">
        <f>VLOOKUP(D13,[1]Sheet2!J:M,4,0)</f>
        <v>Profile Password</v>
      </c>
      <c r="I18" s="100"/>
    </row>
    <row r="19" spans="1:9">
      <c r="A19" s="100"/>
      <c r="I19" s="100"/>
    </row>
    <row r="20" spans="1:9" ht="12" customHeight="1">
      <c r="A20" s="100"/>
      <c r="I20" s="100"/>
    </row>
    <row r="21" spans="1:9" ht="12.75" customHeight="1">
      <c r="A21" s="100"/>
      <c r="I21" s="100"/>
    </row>
    <row r="22" spans="1:9" ht="15.75">
      <c r="A22" s="100"/>
      <c r="C22" s="104" t="s">
        <v>323</v>
      </c>
      <c r="D22" s="201" t="s">
        <v>324</v>
      </c>
      <c r="E22" s="202"/>
      <c r="F22" s="104" t="s">
        <v>321</v>
      </c>
      <c r="G22" s="104" t="s">
        <v>322</v>
      </c>
      <c r="I22" s="100"/>
    </row>
    <row r="23" spans="1:9">
      <c r="A23" s="100"/>
      <c r="C23" s="105" t="s">
        <v>319</v>
      </c>
      <c r="D23" s="197" t="s">
        <v>325</v>
      </c>
      <c r="E23" s="198"/>
      <c r="F23" s="105" t="s">
        <v>326</v>
      </c>
      <c r="G23" s="4" t="s">
        <v>327</v>
      </c>
      <c r="I23" s="100"/>
    </row>
    <row r="24" spans="1:9" ht="25.5" customHeight="1">
      <c r="A24" s="100"/>
      <c r="C24" s="105" t="s">
        <v>328</v>
      </c>
      <c r="D24" s="197" t="s">
        <v>329</v>
      </c>
      <c r="E24" s="198"/>
      <c r="F24" s="105" t="s">
        <v>330</v>
      </c>
      <c r="G24" s="4" t="s">
        <v>331</v>
      </c>
      <c r="I24" s="100"/>
    </row>
    <row r="25" spans="1:9">
      <c r="A25" s="100"/>
      <c r="C25" s="105" t="s">
        <v>332</v>
      </c>
      <c r="D25" s="197" t="s">
        <v>333</v>
      </c>
      <c r="E25" s="198"/>
      <c r="F25" s="105" t="s">
        <v>334</v>
      </c>
      <c r="G25" s="4" t="s">
        <v>335</v>
      </c>
      <c r="I25" s="100"/>
    </row>
    <row r="26" spans="1:9">
      <c r="A26" s="100"/>
      <c r="C26" s="105" t="s">
        <v>336</v>
      </c>
      <c r="D26" s="197" t="s">
        <v>337</v>
      </c>
      <c r="E26" s="198"/>
      <c r="F26" s="105" t="s">
        <v>334</v>
      </c>
      <c r="G26" s="4" t="s">
        <v>335</v>
      </c>
      <c r="I26" s="100"/>
    </row>
    <row r="27" spans="1:9">
      <c r="A27" s="100"/>
      <c r="C27" s="105" t="s">
        <v>338</v>
      </c>
      <c r="D27" s="197" t="s">
        <v>339</v>
      </c>
      <c r="E27" s="198"/>
      <c r="F27" s="105" t="s">
        <v>340</v>
      </c>
      <c r="G27" s="4" t="s">
        <v>340</v>
      </c>
      <c r="I27" s="100"/>
    </row>
    <row r="28" spans="1:9">
      <c r="A28" s="100"/>
      <c r="C28" s="105" t="s">
        <v>341</v>
      </c>
      <c r="D28" s="197" t="s">
        <v>342</v>
      </c>
      <c r="E28" s="198"/>
      <c r="F28" s="105" t="s">
        <v>343</v>
      </c>
      <c r="G28" s="4" t="s">
        <v>343</v>
      </c>
      <c r="I28" s="100"/>
    </row>
    <row r="29" spans="1:9">
      <c r="A29" s="100"/>
      <c r="C29" s="105" t="s">
        <v>344</v>
      </c>
      <c r="D29" s="197" t="s">
        <v>345</v>
      </c>
      <c r="E29" s="198"/>
      <c r="F29" s="105" t="s">
        <v>343</v>
      </c>
      <c r="G29" s="4" t="s">
        <v>343</v>
      </c>
      <c r="I29" s="100"/>
    </row>
    <row r="30" spans="1:9">
      <c r="A30" s="100"/>
      <c r="C30" s="105" t="s">
        <v>346</v>
      </c>
      <c r="D30" s="197" t="s">
        <v>347</v>
      </c>
      <c r="E30" s="198"/>
      <c r="F30" s="105" t="s">
        <v>340</v>
      </c>
      <c r="G30" s="4" t="s">
        <v>340</v>
      </c>
      <c r="I30" s="100"/>
    </row>
    <row r="31" spans="1:9">
      <c r="A31" s="100"/>
      <c r="C31" s="105" t="s">
        <v>348</v>
      </c>
      <c r="D31" s="197" t="s">
        <v>349</v>
      </c>
      <c r="E31" s="198"/>
      <c r="F31" s="4" t="s">
        <v>350</v>
      </c>
      <c r="G31" s="4" t="s">
        <v>351</v>
      </c>
      <c r="I31" s="100"/>
    </row>
    <row r="32" spans="1:9">
      <c r="A32" s="100"/>
      <c r="C32" s="105" t="s">
        <v>352</v>
      </c>
      <c r="D32" s="197" t="s">
        <v>353</v>
      </c>
      <c r="E32" s="198"/>
      <c r="F32" s="4" t="s">
        <v>354</v>
      </c>
      <c r="G32" s="4" t="s">
        <v>355</v>
      </c>
      <c r="I32" s="100"/>
    </row>
    <row r="33" spans="1:9">
      <c r="A33" s="100"/>
      <c r="C33" s="105" t="s">
        <v>356</v>
      </c>
      <c r="D33" s="197" t="s">
        <v>357</v>
      </c>
      <c r="E33" s="198"/>
      <c r="F33" s="4" t="s">
        <v>358</v>
      </c>
      <c r="G33" s="4" t="s">
        <v>359</v>
      </c>
      <c r="I33" s="100"/>
    </row>
    <row r="34" spans="1:9">
      <c r="A34" s="100"/>
      <c r="C34" s="105" t="s">
        <v>360</v>
      </c>
      <c r="D34" s="197" t="s">
        <v>361</v>
      </c>
      <c r="E34" s="198"/>
      <c r="F34" s="105" t="s">
        <v>343</v>
      </c>
      <c r="G34" s="4" t="s">
        <v>343</v>
      </c>
      <c r="I34" s="100"/>
    </row>
    <row r="35" spans="1:9">
      <c r="A35" s="100"/>
      <c r="C35" s="105" t="s">
        <v>362</v>
      </c>
      <c r="D35" s="197" t="s">
        <v>363</v>
      </c>
      <c r="E35" s="198"/>
      <c r="F35" s="105" t="s">
        <v>364</v>
      </c>
      <c r="G35" s="4" t="s">
        <v>365</v>
      </c>
      <c r="I35" s="100"/>
    </row>
    <row r="36" spans="1:9">
      <c r="A36" s="100"/>
      <c r="C36" s="105" t="s">
        <v>366</v>
      </c>
      <c r="D36" s="197" t="s">
        <v>367</v>
      </c>
      <c r="E36" s="198"/>
      <c r="F36" s="105" t="s">
        <v>368</v>
      </c>
      <c r="G36" s="4" t="s">
        <v>368</v>
      </c>
      <c r="I36" s="100"/>
    </row>
    <row r="37" spans="1:9">
      <c r="A37" s="100"/>
      <c r="C37" s="105" t="s">
        <v>369</v>
      </c>
      <c r="D37" s="197" t="s">
        <v>370</v>
      </c>
      <c r="E37" s="198"/>
      <c r="F37" s="105" t="s">
        <v>371</v>
      </c>
      <c r="G37" s="4" t="s">
        <v>372</v>
      </c>
      <c r="I37" s="100"/>
    </row>
    <row r="38" spans="1:9">
      <c r="A38" s="100"/>
      <c r="C38" s="105" t="s">
        <v>373</v>
      </c>
      <c r="D38" s="197" t="s">
        <v>374</v>
      </c>
      <c r="E38" s="198"/>
      <c r="F38" s="106" t="s">
        <v>375</v>
      </c>
      <c r="G38" s="106" t="s">
        <v>376</v>
      </c>
      <c r="I38" s="100"/>
    </row>
    <row r="39" spans="1:9">
      <c r="A39" s="100"/>
      <c r="C39" s="105" t="s">
        <v>377</v>
      </c>
      <c r="D39" s="197" t="s">
        <v>378</v>
      </c>
      <c r="E39" s="198"/>
      <c r="F39" s="105" t="s">
        <v>326</v>
      </c>
      <c r="G39" s="4" t="s">
        <v>327</v>
      </c>
      <c r="I39" s="100"/>
    </row>
    <row r="40" spans="1:9">
      <c r="A40" s="100"/>
      <c r="C40" s="105" t="s">
        <v>379</v>
      </c>
      <c r="D40" s="197" t="s">
        <v>380</v>
      </c>
      <c r="E40" s="198"/>
      <c r="F40" s="105" t="s">
        <v>381</v>
      </c>
      <c r="G40" s="4" t="s">
        <v>382</v>
      </c>
      <c r="I40" s="100"/>
    </row>
    <row r="41" spans="1:9" ht="30" customHeight="1">
      <c r="A41" s="100"/>
      <c r="C41" s="105" t="s">
        <v>383</v>
      </c>
      <c r="D41" s="197" t="s">
        <v>384</v>
      </c>
      <c r="E41" s="198"/>
      <c r="F41" s="106" t="s">
        <v>340</v>
      </c>
      <c r="G41" s="107" t="s">
        <v>340</v>
      </c>
      <c r="I41" s="100"/>
    </row>
    <row r="42" spans="1:9">
      <c r="A42" s="100"/>
      <c r="C42" s="105" t="s">
        <v>385</v>
      </c>
      <c r="D42" s="197" t="s">
        <v>386</v>
      </c>
      <c r="E42" s="198"/>
      <c r="F42" s="105" t="s">
        <v>343</v>
      </c>
      <c r="G42" s="4" t="s">
        <v>343</v>
      </c>
      <c r="I42" s="100"/>
    </row>
    <row r="43" spans="1:9">
      <c r="A43" s="100"/>
      <c r="C43" s="105" t="s">
        <v>387</v>
      </c>
      <c r="D43" s="197" t="s">
        <v>388</v>
      </c>
      <c r="E43" s="198"/>
      <c r="F43" s="105" t="s">
        <v>340</v>
      </c>
      <c r="G43" s="4" t="s">
        <v>340</v>
      </c>
      <c r="I43" s="100"/>
    </row>
    <row r="44" spans="1:9">
      <c r="A44" s="100"/>
      <c r="C44" s="105" t="s">
        <v>389</v>
      </c>
      <c r="D44" s="197" t="s">
        <v>390</v>
      </c>
      <c r="E44" s="198"/>
      <c r="F44" s="105" t="s">
        <v>326</v>
      </c>
      <c r="G44" s="4" t="s">
        <v>327</v>
      </c>
      <c r="I44" s="100"/>
    </row>
    <row r="45" spans="1:9" ht="30" customHeight="1">
      <c r="A45" s="100"/>
      <c r="C45" s="105" t="s">
        <v>391</v>
      </c>
      <c r="D45" s="200" t="s">
        <v>392</v>
      </c>
      <c r="E45" s="200"/>
      <c r="F45" s="105" t="s">
        <v>343</v>
      </c>
      <c r="G45" s="4" t="s">
        <v>343</v>
      </c>
      <c r="I45" s="100"/>
    </row>
    <row r="46" spans="1:9">
      <c r="A46" s="100"/>
      <c r="C46" s="105" t="s">
        <v>393</v>
      </c>
      <c r="D46" s="200" t="s">
        <v>394</v>
      </c>
      <c r="E46" s="200"/>
      <c r="F46" s="105" t="s">
        <v>343</v>
      </c>
      <c r="G46" s="4" t="s">
        <v>343</v>
      </c>
      <c r="I46" s="100"/>
    </row>
    <row r="47" spans="1:9" ht="28.5" customHeight="1">
      <c r="A47" s="100"/>
      <c r="C47" s="105" t="s">
        <v>395</v>
      </c>
      <c r="D47" s="200" t="s">
        <v>396</v>
      </c>
      <c r="E47" s="200"/>
      <c r="F47" s="105" t="s">
        <v>343</v>
      </c>
      <c r="G47" s="4" t="s">
        <v>343</v>
      </c>
      <c r="I47" s="100"/>
    </row>
    <row r="48" spans="1:9">
      <c r="A48" s="100"/>
      <c r="C48" s="105" t="s">
        <v>397</v>
      </c>
      <c r="D48" s="200" t="s">
        <v>398</v>
      </c>
      <c r="E48" s="200"/>
      <c r="F48" s="108" t="s">
        <v>399</v>
      </c>
      <c r="G48" s="109" t="s">
        <v>400</v>
      </c>
      <c r="I48" s="100"/>
    </row>
    <row r="49" spans="1:9">
      <c r="A49" s="100"/>
      <c r="C49" s="105" t="s">
        <v>401</v>
      </c>
      <c r="D49" s="200" t="s">
        <v>402</v>
      </c>
      <c r="E49" s="200"/>
      <c r="F49" s="105" t="s">
        <v>403</v>
      </c>
      <c r="G49" s="106" t="s">
        <v>404</v>
      </c>
      <c r="I49" s="100"/>
    </row>
    <row r="50" spans="1:9">
      <c r="A50" s="100"/>
      <c r="C50" s="105" t="s">
        <v>405</v>
      </c>
      <c r="D50" s="200" t="s">
        <v>406</v>
      </c>
      <c r="E50" s="200"/>
      <c r="F50" s="105" t="s">
        <v>403</v>
      </c>
      <c r="G50" s="106" t="s">
        <v>404</v>
      </c>
      <c r="I50" s="100"/>
    </row>
    <row r="51" spans="1:9">
      <c r="A51" s="100"/>
      <c r="C51" s="105" t="s">
        <v>407</v>
      </c>
      <c r="D51" s="200" t="s">
        <v>408</v>
      </c>
      <c r="E51" s="200"/>
      <c r="F51" s="105" t="s">
        <v>403</v>
      </c>
      <c r="G51" s="106" t="s">
        <v>404</v>
      </c>
      <c r="I51" s="100"/>
    </row>
    <row r="52" spans="1:9" ht="27" customHeight="1">
      <c r="A52" s="100"/>
      <c r="C52" s="105" t="s">
        <v>409</v>
      </c>
      <c r="D52" s="200" t="s">
        <v>329</v>
      </c>
      <c r="E52" s="200"/>
      <c r="F52" s="105" t="s">
        <v>330</v>
      </c>
      <c r="G52" s="4" t="s">
        <v>331</v>
      </c>
      <c r="I52" s="100"/>
    </row>
    <row r="53" spans="1:9">
      <c r="A53" s="100"/>
      <c r="C53" s="105" t="s">
        <v>410</v>
      </c>
      <c r="D53" s="197" t="s">
        <v>411</v>
      </c>
      <c r="E53" s="198"/>
      <c r="F53" s="105" t="s">
        <v>412</v>
      </c>
      <c r="G53" s="110" t="s">
        <v>413</v>
      </c>
      <c r="I53" s="100"/>
    </row>
    <row r="54" spans="1:9">
      <c r="A54" s="100"/>
      <c r="C54" s="105" t="s">
        <v>414</v>
      </c>
      <c r="D54" s="197" t="s">
        <v>415</v>
      </c>
      <c r="E54" s="198"/>
      <c r="F54" s="105" t="s">
        <v>343</v>
      </c>
      <c r="G54" s="4" t="s">
        <v>343</v>
      </c>
      <c r="I54" s="100"/>
    </row>
    <row r="55" spans="1:9">
      <c r="A55" s="100"/>
      <c r="C55" s="105" t="s">
        <v>416</v>
      </c>
      <c r="D55" s="197" t="s">
        <v>417</v>
      </c>
      <c r="E55" s="198"/>
      <c r="F55" s="105" t="s">
        <v>340</v>
      </c>
      <c r="G55" s="4" t="s">
        <v>340</v>
      </c>
      <c r="I55" s="100"/>
    </row>
    <row r="56" spans="1:9" ht="3.95" customHeight="1">
      <c r="A56" s="100"/>
      <c r="B56" s="100"/>
      <c r="C56" s="111"/>
      <c r="D56" s="111"/>
      <c r="E56" s="111"/>
      <c r="F56" s="111"/>
      <c r="G56" s="111"/>
      <c r="H56" s="100"/>
      <c r="I56" s="100"/>
    </row>
    <row r="57" spans="1:9" ht="18.75" customHeight="1">
      <c r="B57" s="112"/>
      <c r="C57" s="199" t="s">
        <v>418</v>
      </c>
      <c r="D57" s="199"/>
      <c r="E57" s="199"/>
      <c r="F57" s="199"/>
      <c r="G57" s="199"/>
      <c r="H57" s="112"/>
    </row>
    <row r="58" spans="1:9" ht="14.25" customHeight="1">
      <c r="B58" s="112"/>
      <c r="C58" s="199"/>
      <c r="D58" s="199"/>
      <c r="E58" s="199"/>
      <c r="F58" s="199"/>
      <c r="G58" s="199"/>
      <c r="H58" s="112"/>
    </row>
    <row r="59" spans="1:9">
      <c r="C59" s="113" t="s">
        <v>397</v>
      </c>
      <c r="D59" s="114" t="s">
        <v>419</v>
      </c>
      <c r="E59" s="114" t="s">
        <v>420</v>
      </c>
      <c r="F59" s="114" t="s">
        <v>421</v>
      </c>
      <c r="G59" s="113" t="s">
        <v>422</v>
      </c>
    </row>
    <row r="60" spans="1:9">
      <c r="C60" s="115" t="s">
        <v>423</v>
      </c>
      <c r="D60" s="106" t="s">
        <v>424</v>
      </c>
      <c r="E60" s="106" t="s">
        <v>425</v>
      </c>
      <c r="F60" s="106" t="s">
        <v>426</v>
      </c>
      <c r="G60" s="106" t="s">
        <v>427</v>
      </c>
    </row>
    <row r="61" spans="1:9">
      <c r="C61" s="115" t="s">
        <v>428</v>
      </c>
      <c r="D61" s="106" t="s">
        <v>429</v>
      </c>
      <c r="E61" s="106" t="s">
        <v>430</v>
      </c>
      <c r="F61" s="106" t="s">
        <v>431</v>
      </c>
      <c r="G61" s="106" t="s">
        <v>432</v>
      </c>
    </row>
    <row r="62" spans="1:9">
      <c r="C62" s="115" t="s">
        <v>433</v>
      </c>
      <c r="D62" s="106" t="s">
        <v>434</v>
      </c>
      <c r="E62" s="106" t="s">
        <v>435</v>
      </c>
      <c r="F62" s="106" t="s">
        <v>436</v>
      </c>
      <c r="G62" s="106" t="s">
        <v>437</v>
      </c>
    </row>
    <row r="63" spans="1:9">
      <c r="C63" s="115" t="s">
        <v>438</v>
      </c>
      <c r="D63" s="106" t="s">
        <v>439</v>
      </c>
      <c r="E63" s="106" t="s">
        <v>440</v>
      </c>
      <c r="F63" s="106" t="s">
        <v>441</v>
      </c>
      <c r="G63" s="106" t="s">
        <v>442</v>
      </c>
    </row>
    <row r="64" spans="1:9">
      <c r="C64" s="115" t="s">
        <v>443</v>
      </c>
      <c r="D64" s="106" t="s">
        <v>444</v>
      </c>
      <c r="E64" s="106" t="s">
        <v>445</v>
      </c>
      <c r="F64" s="106" t="s">
        <v>446</v>
      </c>
      <c r="G64" s="106" t="s">
        <v>447</v>
      </c>
    </row>
    <row r="65" spans="3:8">
      <c r="C65" s="115" t="s">
        <v>448</v>
      </c>
      <c r="D65" s="106" t="s">
        <v>449</v>
      </c>
      <c r="E65" s="106" t="s">
        <v>450</v>
      </c>
      <c r="F65" s="114" t="s">
        <v>77</v>
      </c>
      <c r="G65" s="106" t="s">
        <v>451</v>
      </c>
      <c r="H65" s="116"/>
    </row>
    <row r="66" spans="3:8">
      <c r="C66" s="115" t="s">
        <v>452</v>
      </c>
      <c r="D66" s="117" t="s">
        <v>453</v>
      </c>
      <c r="E66" s="117" t="s">
        <v>454</v>
      </c>
      <c r="F66" s="106" t="s">
        <v>455</v>
      </c>
      <c r="G66" s="106" t="s">
        <v>456</v>
      </c>
      <c r="H66" s="116"/>
    </row>
    <row r="67" spans="3:8">
      <c r="C67" s="115" t="s">
        <v>457</v>
      </c>
      <c r="D67" s="106" t="s">
        <v>458</v>
      </c>
      <c r="E67" s="106" t="s">
        <v>459</v>
      </c>
      <c r="F67" s="106" t="s">
        <v>460</v>
      </c>
      <c r="G67" s="106" t="s">
        <v>461</v>
      </c>
      <c r="H67" s="116"/>
    </row>
    <row r="68" spans="3:8" ht="25.5">
      <c r="C68" s="115" t="s">
        <v>462</v>
      </c>
      <c r="D68" s="106" t="s">
        <v>463</v>
      </c>
      <c r="E68" s="116"/>
      <c r="F68" s="106" t="s">
        <v>464</v>
      </c>
      <c r="G68" s="106" t="s">
        <v>465</v>
      </c>
      <c r="H68" s="116"/>
    </row>
    <row r="69" spans="3:8">
      <c r="C69" s="115" t="s">
        <v>466</v>
      </c>
      <c r="D69" s="106" t="s">
        <v>467</v>
      </c>
      <c r="E69" s="116"/>
      <c r="F69" s="106" t="s">
        <v>468</v>
      </c>
      <c r="G69" s="106" t="s">
        <v>469</v>
      </c>
      <c r="H69" s="116"/>
    </row>
    <row r="70" spans="3:8">
      <c r="C70" s="115" t="s">
        <v>470</v>
      </c>
      <c r="D70" s="106" t="s">
        <v>471</v>
      </c>
      <c r="E70" s="116"/>
      <c r="F70" s="106" t="s">
        <v>472</v>
      </c>
      <c r="G70" s="116"/>
      <c r="H70" s="116"/>
    </row>
    <row r="71" spans="3:8">
      <c r="C71" s="115" t="s">
        <v>473</v>
      </c>
      <c r="D71" s="106" t="s">
        <v>474</v>
      </c>
      <c r="E71" s="116"/>
      <c r="F71" s="116"/>
      <c r="G71" s="116"/>
      <c r="H71" s="116"/>
    </row>
    <row r="72" spans="3:8">
      <c r="C72" s="115" t="s">
        <v>475</v>
      </c>
      <c r="D72" s="106" t="s">
        <v>476</v>
      </c>
      <c r="E72" s="116"/>
      <c r="F72" s="116"/>
      <c r="G72" s="116"/>
      <c r="H72" s="116"/>
    </row>
    <row r="73" spans="3:8">
      <c r="C73" s="115" t="s">
        <v>477</v>
      </c>
      <c r="D73" s="106" t="s">
        <v>478</v>
      </c>
      <c r="E73" s="116"/>
      <c r="F73" s="116"/>
      <c r="G73" s="116"/>
      <c r="H73" s="116"/>
    </row>
    <row r="74" spans="3:8">
      <c r="C74" s="115" t="s">
        <v>479</v>
      </c>
      <c r="D74" s="106" t="s">
        <v>480</v>
      </c>
      <c r="E74" s="116"/>
      <c r="F74" s="116"/>
      <c r="G74" s="116"/>
      <c r="H74" s="116"/>
    </row>
    <row r="75" spans="3:8">
      <c r="C75" s="115" t="s">
        <v>481</v>
      </c>
      <c r="D75" s="106" t="s">
        <v>482</v>
      </c>
      <c r="E75" s="116"/>
      <c r="F75" s="116"/>
      <c r="G75" s="116"/>
      <c r="H75" s="116"/>
    </row>
    <row r="76" spans="3:8">
      <c r="C76" s="115" t="s">
        <v>483</v>
      </c>
      <c r="D76" s="106" t="s">
        <v>484</v>
      </c>
      <c r="E76" s="116"/>
      <c r="F76" s="116"/>
      <c r="G76" s="116"/>
      <c r="H76" s="116"/>
    </row>
    <row r="77" spans="3:8">
      <c r="C77" s="115" t="s">
        <v>485</v>
      </c>
      <c r="D77" s="106" t="s">
        <v>486</v>
      </c>
      <c r="E77" s="116"/>
      <c r="F77" s="116"/>
      <c r="G77" s="116"/>
      <c r="H77" s="116"/>
    </row>
    <row r="78" spans="3:8">
      <c r="C78" s="115" t="s">
        <v>487</v>
      </c>
      <c r="D78" s="106" t="s">
        <v>488</v>
      </c>
      <c r="E78" s="116"/>
      <c r="F78" s="116"/>
      <c r="G78" s="116"/>
      <c r="H78" s="116"/>
    </row>
    <row r="79" spans="3:8">
      <c r="C79" s="115" t="s">
        <v>489</v>
      </c>
      <c r="D79" s="106" t="s">
        <v>490</v>
      </c>
      <c r="E79" s="116"/>
      <c r="F79" s="116"/>
      <c r="G79" s="116"/>
      <c r="H79" s="116"/>
    </row>
    <row r="80" spans="3:8" ht="25.5">
      <c r="C80" s="115" t="s">
        <v>491</v>
      </c>
      <c r="D80" s="106" t="s">
        <v>492</v>
      </c>
      <c r="E80" s="116"/>
      <c r="F80" s="116"/>
      <c r="G80" s="116"/>
      <c r="H80" s="116"/>
    </row>
    <row r="81" spans="3:8">
      <c r="C81" s="115" t="s">
        <v>493</v>
      </c>
      <c r="D81" s="106" t="s">
        <v>494</v>
      </c>
      <c r="E81" s="116"/>
      <c r="F81" s="116"/>
      <c r="G81" s="116"/>
      <c r="H81" s="116"/>
    </row>
    <row r="82" spans="3:8">
      <c r="C82" s="115" t="s">
        <v>495</v>
      </c>
      <c r="D82" s="106" t="s">
        <v>496</v>
      </c>
      <c r="E82" s="116"/>
      <c r="F82" s="116"/>
      <c r="G82" s="116"/>
      <c r="H82" s="116"/>
    </row>
    <row r="83" spans="3:8">
      <c r="C83" s="115" t="s">
        <v>497</v>
      </c>
      <c r="D83" s="106" t="s">
        <v>498</v>
      </c>
      <c r="E83" s="116"/>
      <c r="F83" s="116"/>
      <c r="G83" s="116"/>
      <c r="H83" s="116"/>
    </row>
    <row r="84" spans="3:8">
      <c r="C84" s="115" t="s">
        <v>499</v>
      </c>
      <c r="D84" s="106" t="s">
        <v>500</v>
      </c>
      <c r="E84" s="116"/>
      <c r="F84" s="116"/>
      <c r="G84" s="116"/>
      <c r="H84" s="116"/>
    </row>
    <row r="85" spans="3:8">
      <c r="C85" s="115" t="s">
        <v>501</v>
      </c>
      <c r="D85" s="106" t="s">
        <v>502</v>
      </c>
      <c r="E85" s="116"/>
      <c r="F85" s="116"/>
      <c r="G85" s="116"/>
      <c r="H85" s="116"/>
    </row>
    <row r="86" spans="3:8">
      <c r="C86" s="115" t="s">
        <v>503</v>
      </c>
      <c r="D86" s="106" t="s">
        <v>504</v>
      </c>
      <c r="E86" s="116"/>
      <c r="F86" s="116"/>
      <c r="G86" s="116"/>
      <c r="H86" s="116"/>
    </row>
    <row r="87" spans="3:8">
      <c r="C87" s="115" t="s">
        <v>505</v>
      </c>
      <c r="D87" s="106" t="s">
        <v>506</v>
      </c>
      <c r="E87" s="116"/>
      <c r="F87" s="116"/>
      <c r="G87" s="116"/>
      <c r="H87" s="116"/>
    </row>
    <row r="88" spans="3:8">
      <c r="C88" s="115" t="s">
        <v>507</v>
      </c>
      <c r="D88" s="106" t="s">
        <v>508</v>
      </c>
      <c r="E88" s="116"/>
      <c r="F88" s="116"/>
      <c r="G88" s="116"/>
      <c r="H88" s="116"/>
    </row>
    <row r="89" spans="3:8">
      <c r="C89" s="115" t="s">
        <v>509</v>
      </c>
      <c r="D89" s="106" t="s">
        <v>510</v>
      </c>
      <c r="E89" s="116"/>
      <c r="F89" s="116"/>
      <c r="G89" s="116"/>
      <c r="H89" s="116"/>
    </row>
    <row r="90" spans="3:8">
      <c r="C90" s="115" t="s">
        <v>511</v>
      </c>
      <c r="D90" s="106" t="s">
        <v>512</v>
      </c>
      <c r="E90" s="116"/>
      <c r="F90" s="116"/>
      <c r="G90" s="116"/>
      <c r="H90" s="116"/>
    </row>
    <row r="91" spans="3:8">
      <c r="C91" s="115" t="s">
        <v>513</v>
      </c>
      <c r="D91" s="106" t="s">
        <v>514</v>
      </c>
      <c r="E91" s="116"/>
      <c r="F91" s="116"/>
      <c r="G91" s="116"/>
      <c r="H91" s="116"/>
    </row>
    <row r="92" spans="3:8">
      <c r="C92" s="115" t="s">
        <v>515</v>
      </c>
      <c r="D92" s="106" t="s">
        <v>516</v>
      </c>
      <c r="E92" s="116"/>
      <c r="F92" s="116"/>
      <c r="G92" s="116"/>
      <c r="H92" s="116"/>
    </row>
    <row r="93" spans="3:8">
      <c r="C93" s="115" t="s">
        <v>517</v>
      </c>
      <c r="D93" s="106" t="s">
        <v>518</v>
      </c>
      <c r="E93" s="116"/>
      <c r="F93" s="116"/>
      <c r="G93" s="116"/>
      <c r="H93" s="116"/>
    </row>
    <row r="94" spans="3:8">
      <c r="C94" s="115" t="s">
        <v>519</v>
      </c>
      <c r="D94" s="106" t="s">
        <v>520</v>
      </c>
      <c r="E94" s="116"/>
      <c r="F94" s="116"/>
      <c r="G94" s="116"/>
      <c r="H94" s="116"/>
    </row>
    <row r="95" spans="3:8">
      <c r="C95" s="115" t="s">
        <v>521</v>
      </c>
      <c r="D95" s="106" t="s">
        <v>522</v>
      </c>
      <c r="E95" s="116"/>
      <c r="F95" s="116"/>
      <c r="G95" s="116"/>
      <c r="H95" s="116"/>
    </row>
    <row r="96" spans="3:8">
      <c r="C96" s="115" t="s">
        <v>523</v>
      </c>
      <c r="D96" s="106" t="s">
        <v>524</v>
      </c>
      <c r="E96" s="116"/>
      <c r="F96" s="116"/>
      <c r="G96" s="116"/>
      <c r="H96" s="116"/>
    </row>
    <row r="97" spans="3:8">
      <c r="C97" s="115" t="s">
        <v>525</v>
      </c>
      <c r="D97" s="106" t="s">
        <v>526</v>
      </c>
      <c r="E97" s="116"/>
      <c r="F97" s="116"/>
      <c r="G97" s="116"/>
      <c r="H97" s="116"/>
    </row>
    <row r="98" spans="3:8">
      <c r="C98" s="115" t="s">
        <v>527</v>
      </c>
      <c r="D98" s="106" t="s">
        <v>528</v>
      </c>
      <c r="E98" s="116"/>
      <c r="F98" s="116"/>
      <c r="G98" s="116"/>
      <c r="H98" s="116"/>
    </row>
    <row r="99" spans="3:8">
      <c r="C99" s="115" t="s">
        <v>529</v>
      </c>
      <c r="D99" s="106" t="s">
        <v>530</v>
      </c>
      <c r="E99" s="116"/>
      <c r="F99" s="116"/>
      <c r="G99" s="116"/>
      <c r="H99" s="116"/>
    </row>
    <row r="100" spans="3:8" ht="25.5">
      <c r="C100" s="115" t="s">
        <v>531</v>
      </c>
      <c r="D100" s="106" t="s">
        <v>532</v>
      </c>
      <c r="E100" s="116"/>
      <c r="F100" s="116"/>
      <c r="G100" s="116"/>
      <c r="H100" s="116"/>
    </row>
    <row r="101" spans="3:8">
      <c r="C101" s="115" t="s">
        <v>533</v>
      </c>
      <c r="D101" s="106" t="s">
        <v>534</v>
      </c>
      <c r="E101" s="116"/>
      <c r="F101" s="116"/>
      <c r="G101" s="116"/>
      <c r="H101" s="116"/>
    </row>
    <row r="102" spans="3:8">
      <c r="C102" s="115" t="s">
        <v>535</v>
      </c>
      <c r="D102" s="106" t="s">
        <v>536</v>
      </c>
      <c r="E102" s="116"/>
      <c r="F102" s="116"/>
      <c r="G102" s="116"/>
      <c r="H102" s="116"/>
    </row>
    <row r="103" spans="3:8">
      <c r="C103" s="115" t="s">
        <v>537</v>
      </c>
      <c r="D103" s="106" t="s">
        <v>538</v>
      </c>
      <c r="E103" s="116"/>
      <c r="F103" s="116"/>
      <c r="G103" s="116"/>
      <c r="H103" s="116"/>
    </row>
    <row r="104" spans="3:8">
      <c r="C104" s="115" t="s">
        <v>539</v>
      </c>
      <c r="D104" s="106" t="s">
        <v>540</v>
      </c>
      <c r="E104" s="116"/>
      <c r="F104" s="116"/>
      <c r="G104" s="116"/>
      <c r="H104" s="116"/>
    </row>
    <row r="105" spans="3:8">
      <c r="C105" s="115" t="s">
        <v>541</v>
      </c>
      <c r="D105" s="106" t="s">
        <v>542</v>
      </c>
      <c r="E105" s="116"/>
      <c r="F105" s="116"/>
      <c r="G105" s="116"/>
      <c r="H105" s="116"/>
    </row>
    <row r="106" spans="3:8">
      <c r="C106" s="115" t="s">
        <v>543</v>
      </c>
      <c r="D106" s="106" t="s">
        <v>544</v>
      </c>
      <c r="E106" s="116"/>
      <c r="F106" s="116"/>
      <c r="G106" s="116"/>
      <c r="H106" s="116"/>
    </row>
    <row r="107" spans="3:8">
      <c r="C107" s="115" t="s">
        <v>545</v>
      </c>
      <c r="D107" s="106" t="s">
        <v>546</v>
      </c>
      <c r="E107" s="116"/>
      <c r="F107" s="116"/>
      <c r="G107" s="116"/>
      <c r="H107" s="116"/>
    </row>
    <row r="108" spans="3:8">
      <c r="C108" s="115" t="s">
        <v>547</v>
      </c>
      <c r="D108" s="106" t="s">
        <v>548</v>
      </c>
      <c r="E108" s="116"/>
      <c r="F108" s="116"/>
      <c r="G108" s="116"/>
      <c r="H108" s="116"/>
    </row>
    <row r="109" spans="3:8">
      <c r="C109" s="115" t="s">
        <v>549</v>
      </c>
      <c r="D109" s="106" t="s">
        <v>550</v>
      </c>
      <c r="E109" s="116"/>
      <c r="F109" s="116"/>
      <c r="G109" s="116"/>
      <c r="H109" s="116"/>
    </row>
    <row r="110" spans="3:8">
      <c r="C110" s="115" t="s">
        <v>551</v>
      </c>
      <c r="D110" s="106" t="s">
        <v>552</v>
      </c>
      <c r="E110" s="116"/>
      <c r="F110" s="116"/>
      <c r="G110" s="116"/>
      <c r="H110" s="116"/>
    </row>
    <row r="111" spans="3:8" ht="25.5">
      <c r="C111" s="115" t="s">
        <v>553</v>
      </c>
      <c r="D111" s="106" t="s">
        <v>554</v>
      </c>
      <c r="E111" s="116"/>
      <c r="F111" s="116"/>
      <c r="G111" s="116"/>
      <c r="H111" s="116"/>
    </row>
    <row r="112" spans="3:8">
      <c r="C112" s="115" t="s">
        <v>555</v>
      </c>
      <c r="D112" s="106" t="s">
        <v>556</v>
      </c>
      <c r="E112" s="116"/>
      <c r="F112" s="116"/>
      <c r="G112" s="116"/>
      <c r="H112" s="116"/>
    </row>
    <row r="113" spans="3:8">
      <c r="C113" s="115" t="s">
        <v>557</v>
      </c>
      <c r="D113" s="106" t="s">
        <v>558</v>
      </c>
      <c r="E113" s="116"/>
      <c r="F113" s="116"/>
      <c r="G113" s="116"/>
      <c r="H113" s="116"/>
    </row>
    <row r="114" spans="3:8">
      <c r="C114" s="115" t="s">
        <v>559</v>
      </c>
      <c r="D114" s="106" t="s">
        <v>560</v>
      </c>
      <c r="E114" s="116"/>
      <c r="F114" s="116"/>
      <c r="G114" s="116"/>
      <c r="H114" s="116"/>
    </row>
    <row r="115" spans="3:8" ht="25.5">
      <c r="C115" s="115" t="s">
        <v>561</v>
      </c>
      <c r="D115" s="106" t="s">
        <v>562</v>
      </c>
      <c r="E115" s="116"/>
      <c r="F115" s="116"/>
      <c r="G115" s="116"/>
      <c r="H115" s="116"/>
    </row>
    <row r="116" spans="3:8">
      <c r="C116" s="115" t="s">
        <v>563</v>
      </c>
      <c r="D116" s="106" t="s">
        <v>564</v>
      </c>
      <c r="E116" s="116"/>
      <c r="F116" s="116"/>
      <c r="G116" s="116"/>
      <c r="H116" s="116"/>
    </row>
    <row r="117" spans="3:8">
      <c r="C117" s="115" t="s">
        <v>565</v>
      </c>
      <c r="D117" s="106" t="s">
        <v>566</v>
      </c>
      <c r="E117" s="116"/>
      <c r="F117" s="116"/>
      <c r="G117" s="116"/>
      <c r="H117" s="116"/>
    </row>
    <row r="118" spans="3:8">
      <c r="C118" s="115" t="s">
        <v>567</v>
      </c>
      <c r="D118" s="106" t="s">
        <v>568</v>
      </c>
      <c r="E118" s="116"/>
      <c r="F118" s="116"/>
      <c r="G118" s="116"/>
      <c r="H118" s="116"/>
    </row>
    <row r="119" spans="3:8">
      <c r="C119" s="115" t="s">
        <v>569</v>
      </c>
      <c r="D119" s="106" t="s">
        <v>570</v>
      </c>
      <c r="E119" s="116"/>
      <c r="F119" s="116"/>
      <c r="G119" s="116"/>
      <c r="H119" s="116"/>
    </row>
    <row r="120" spans="3:8">
      <c r="C120" s="115" t="s">
        <v>571</v>
      </c>
      <c r="D120" s="106" t="s">
        <v>572</v>
      </c>
      <c r="E120" s="116"/>
      <c r="F120" s="116"/>
      <c r="G120" s="116"/>
      <c r="H120" s="116"/>
    </row>
    <row r="121" spans="3:8">
      <c r="C121" s="115" t="s">
        <v>573</v>
      </c>
      <c r="D121" s="106" t="s">
        <v>574</v>
      </c>
      <c r="E121" s="116"/>
      <c r="F121" s="116"/>
      <c r="G121" s="116"/>
      <c r="H121" s="116"/>
    </row>
    <row r="122" spans="3:8">
      <c r="C122" s="115" t="s">
        <v>575</v>
      </c>
      <c r="D122" s="106" t="s">
        <v>576</v>
      </c>
      <c r="E122" s="116"/>
      <c r="F122" s="116"/>
      <c r="G122" s="116"/>
      <c r="H122" s="116"/>
    </row>
    <row r="123" spans="3:8">
      <c r="C123" s="115" t="s">
        <v>577</v>
      </c>
      <c r="D123" s="106" t="s">
        <v>578</v>
      </c>
      <c r="E123" s="116"/>
      <c r="F123" s="116"/>
      <c r="G123" s="116"/>
      <c r="H123" s="116"/>
    </row>
    <row r="124" spans="3:8" ht="25.5">
      <c r="C124" s="115" t="s">
        <v>579</v>
      </c>
      <c r="D124" s="106" t="s">
        <v>580</v>
      </c>
      <c r="E124" s="116"/>
      <c r="F124" s="116"/>
      <c r="G124" s="116"/>
      <c r="H124" s="116"/>
    </row>
    <row r="125" spans="3:8">
      <c r="C125" s="115" t="s">
        <v>581</v>
      </c>
      <c r="D125" s="106" t="s">
        <v>582</v>
      </c>
      <c r="E125" s="116"/>
      <c r="F125" s="116"/>
      <c r="G125" s="116"/>
      <c r="H125" s="116"/>
    </row>
    <row r="126" spans="3:8">
      <c r="C126" s="115" t="s">
        <v>583</v>
      </c>
      <c r="D126" s="106" t="s">
        <v>584</v>
      </c>
      <c r="E126" s="116"/>
      <c r="F126" s="116"/>
      <c r="G126" s="116"/>
      <c r="H126" s="116"/>
    </row>
    <row r="127" spans="3:8" ht="25.5">
      <c r="C127" s="115" t="s">
        <v>585</v>
      </c>
      <c r="D127" s="106" t="s">
        <v>586</v>
      </c>
      <c r="E127" s="116"/>
      <c r="F127" s="116"/>
      <c r="G127" s="116"/>
      <c r="H127" s="116"/>
    </row>
    <row r="128" spans="3:8">
      <c r="C128" s="115" t="s">
        <v>587</v>
      </c>
      <c r="D128" s="106" t="s">
        <v>588</v>
      </c>
      <c r="E128" s="116"/>
      <c r="F128" s="116"/>
      <c r="G128" s="116"/>
      <c r="H128" s="116"/>
    </row>
    <row r="129" spans="3:8">
      <c r="C129" s="115" t="s">
        <v>589</v>
      </c>
      <c r="D129" s="106" t="s">
        <v>590</v>
      </c>
      <c r="E129" s="116"/>
      <c r="F129" s="116"/>
      <c r="G129" s="116"/>
      <c r="H129" s="116"/>
    </row>
    <row r="130" spans="3:8">
      <c r="C130" s="115" t="s">
        <v>591</v>
      </c>
      <c r="D130" s="106" t="s">
        <v>592</v>
      </c>
      <c r="E130" s="116"/>
      <c r="F130" s="116"/>
      <c r="G130" s="116"/>
      <c r="H130" s="116"/>
    </row>
    <row r="131" spans="3:8" ht="25.5">
      <c r="C131" s="115" t="s">
        <v>593</v>
      </c>
      <c r="D131" s="106" t="s">
        <v>594</v>
      </c>
      <c r="E131" s="116"/>
      <c r="F131" s="116"/>
      <c r="G131" s="116"/>
      <c r="H131" s="116"/>
    </row>
    <row r="132" spans="3:8" ht="25.5">
      <c r="C132" s="115" t="s">
        <v>595</v>
      </c>
      <c r="D132" s="106" t="s">
        <v>596</v>
      </c>
      <c r="E132" s="116"/>
      <c r="F132" s="116"/>
      <c r="G132" s="116"/>
      <c r="H132" s="116"/>
    </row>
    <row r="133" spans="3:8">
      <c r="C133" s="115" t="s">
        <v>597</v>
      </c>
      <c r="D133" s="106" t="s">
        <v>598</v>
      </c>
      <c r="E133" s="116"/>
      <c r="F133" s="116"/>
      <c r="G133" s="116"/>
      <c r="H133" s="116"/>
    </row>
    <row r="134" spans="3:8">
      <c r="C134" s="115" t="s">
        <v>599</v>
      </c>
      <c r="D134" s="106" t="s">
        <v>600</v>
      </c>
      <c r="E134" s="116"/>
      <c r="F134" s="116"/>
      <c r="G134" s="116"/>
      <c r="H134" s="116"/>
    </row>
    <row r="135" spans="3:8">
      <c r="C135" s="115" t="s">
        <v>601</v>
      </c>
      <c r="D135" s="106" t="s">
        <v>602</v>
      </c>
      <c r="E135" s="116"/>
      <c r="F135" s="116"/>
      <c r="G135" s="116"/>
      <c r="H135" s="116"/>
    </row>
    <row r="136" spans="3:8">
      <c r="C136" s="115" t="s">
        <v>603</v>
      </c>
      <c r="D136" s="106" t="s">
        <v>604</v>
      </c>
      <c r="E136" s="116"/>
      <c r="F136" s="116"/>
      <c r="G136" s="116"/>
      <c r="H136" s="116"/>
    </row>
    <row r="137" spans="3:8">
      <c r="C137" s="115" t="s">
        <v>605</v>
      </c>
      <c r="D137" s="106" t="s">
        <v>606</v>
      </c>
      <c r="E137" s="116"/>
      <c r="F137" s="116"/>
      <c r="G137" s="116"/>
      <c r="H137" s="116"/>
    </row>
    <row r="138" spans="3:8">
      <c r="C138" s="115" t="s">
        <v>607</v>
      </c>
      <c r="D138" s="106" t="s">
        <v>608</v>
      </c>
      <c r="E138" s="116"/>
      <c r="F138" s="116"/>
      <c r="G138" s="116"/>
      <c r="H138" s="116"/>
    </row>
    <row r="139" spans="3:8">
      <c r="C139" s="115" t="s">
        <v>609</v>
      </c>
      <c r="D139" s="106" t="s">
        <v>610</v>
      </c>
      <c r="E139" s="116"/>
      <c r="F139" s="116"/>
      <c r="G139" s="116"/>
      <c r="H139" s="116"/>
    </row>
    <row r="140" spans="3:8">
      <c r="C140" s="115" t="s">
        <v>611</v>
      </c>
      <c r="D140" s="106" t="s">
        <v>612</v>
      </c>
      <c r="E140" s="116"/>
      <c r="F140" s="116"/>
      <c r="G140" s="116"/>
      <c r="H140" s="116"/>
    </row>
    <row r="141" spans="3:8">
      <c r="C141" s="115" t="s">
        <v>613</v>
      </c>
      <c r="D141" s="106" t="s">
        <v>614</v>
      </c>
      <c r="E141" s="116"/>
      <c r="F141" s="116"/>
      <c r="G141" s="116"/>
      <c r="H141" s="116"/>
    </row>
    <row r="142" spans="3:8">
      <c r="C142" s="115" t="s">
        <v>615</v>
      </c>
      <c r="D142" s="106" t="s">
        <v>616</v>
      </c>
      <c r="E142" s="116"/>
      <c r="F142" s="116"/>
      <c r="G142" s="116"/>
      <c r="H142" s="116"/>
    </row>
    <row r="143" spans="3:8">
      <c r="C143" s="115" t="s">
        <v>617</v>
      </c>
      <c r="D143" s="106" t="s">
        <v>618</v>
      </c>
      <c r="E143" s="116"/>
      <c r="F143" s="116"/>
      <c r="G143" s="116"/>
      <c r="H143" s="116"/>
    </row>
    <row r="144" spans="3:8">
      <c r="C144" s="115" t="s">
        <v>619</v>
      </c>
      <c r="D144" s="106" t="s">
        <v>620</v>
      </c>
      <c r="E144" s="116"/>
      <c r="F144" s="116"/>
      <c r="G144" s="116"/>
      <c r="H144" s="116"/>
    </row>
    <row r="145" spans="3:8">
      <c r="C145" s="115" t="s">
        <v>621</v>
      </c>
      <c r="D145" s="106" t="s">
        <v>622</v>
      </c>
      <c r="E145" s="116"/>
      <c r="F145" s="116"/>
      <c r="G145" s="116"/>
      <c r="H145" s="116"/>
    </row>
    <row r="146" spans="3:8">
      <c r="C146" s="115" t="s">
        <v>623</v>
      </c>
      <c r="D146" s="106" t="s">
        <v>624</v>
      </c>
      <c r="E146" s="116"/>
      <c r="F146" s="116"/>
      <c r="G146" s="116"/>
      <c r="H146" s="116"/>
    </row>
    <row r="147" spans="3:8" ht="25.5">
      <c r="C147" s="115" t="s">
        <v>625</v>
      </c>
      <c r="D147" s="106" t="s">
        <v>626</v>
      </c>
      <c r="E147" s="116"/>
      <c r="F147" s="116"/>
      <c r="G147" s="116"/>
      <c r="H147" s="116"/>
    </row>
    <row r="148" spans="3:8">
      <c r="C148" s="115" t="s">
        <v>627</v>
      </c>
      <c r="D148" s="106" t="s">
        <v>628</v>
      </c>
      <c r="E148" s="116"/>
      <c r="F148" s="116"/>
      <c r="G148" s="116"/>
      <c r="H148" s="116"/>
    </row>
    <row r="149" spans="3:8">
      <c r="C149" s="115" t="s">
        <v>629</v>
      </c>
      <c r="D149" s="106" t="s">
        <v>630</v>
      </c>
      <c r="E149" s="116"/>
      <c r="F149" s="116"/>
      <c r="G149" s="116"/>
      <c r="H149" s="116"/>
    </row>
    <row r="150" spans="3:8">
      <c r="C150" s="115" t="s">
        <v>631</v>
      </c>
      <c r="D150" s="106" t="s">
        <v>632</v>
      </c>
      <c r="E150" s="116"/>
      <c r="F150" s="116"/>
      <c r="G150" s="116"/>
      <c r="H150" s="116"/>
    </row>
    <row r="151" spans="3:8">
      <c r="C151" s="115" t="s">
        <v>633</v>
      </c>
      <c r="D151" s="106" t="s">
        <v>634</v>
      </c>
      <c r="E151" s="116"/>
      <c r="F151" s="116"/>
      <c r="G151" s="116"/>
      <c r="H151" s="116"/>
    </row>
    <row r="152" spans="3:8">
      <c r="C152" s="115" t="s">
        <v>635</v>
      </c>
      <c r="D152" s="106" t="s">
        <v>636</v>
      </c>
      <c r="E152" s="116"/>
      <c r="F152" s="116"/>
      <c r="G152" s="116"/>
      <c r="H152" s="116"/>
    </row>
    <row r="153" spans="3:8">
      <c r="C153" s="115" t="s">
        <v>637</v>
      </c>
      <c r="D153" s="106" t="s">
        <v>638</v>
      </c>
      <c r="E153" s="116"/>
      <c r="F153" s="116"/>
      <c r="G153" s="116"/>
      <c r="H153" s="116"/>
    </row>
    <row r="154" spans="3:8" ht="25.5">
      <c r="C154" s="115" t="s">
        <v>639</v>
      </c>
      <c r="D154" s="106" t="s">
        <v>640</v>
      </c>
      <c r="E154" s="116"/>
      <c r="F154" s="116"/>
      <c r="G154" s="116"/>
      <c r="H154" s="116"/>
    </row>
    <row r="155" spans="3:8">
      <c r="C155" s="115" t="s">
        <v>641</v>
      </c>
      <c r="D155" s="106" t="s">
        <v>642</v>
      </c>
      <c r="E155" s="116"/>
      <c r="F155" s="116"/>
      <c r="G155" s="116"/>
      <c r="H155" s="116"/>
    </row>
    <row r="156" spans="3:8">
      <c r="C156" s="115" t="s">
        <v>643</v>
      </c>
      <c r="D156" s="106" t="s">
        <v>644</v>
      </c>
      <c r="E156" s="116"/>
      <c r="F156" s="116"/>
      <c r="G156" s="116"/>
      <c r="H156" s="116"/>
    </row>
    <row r="157" spans="3:8">
      <c r="C157" s="115" t="s">
        <v>645</v>
      </c>
      <c r="D157" s="106" t="s">
        <v>646</v>
      </c>
      <c r="E157" s="116"/>
      <c r="F157" s="116"/>
      <c r="G157" s="116"/>
      <c r="H157" s="116"/>
    </row>
    <row r="158" spans="3:8">
      <c r="C158" s="115" t="s">
        <v>647</v>
      </c>
      <c r="D158" s="106" t="s">
        <v>648</v>
      </c>
      <c r="E158" s="116"/>
      <c r="F158" s="116"/>
      <c r="G158" s="116"/>
      <c r="H158" s="116"/>
    </row>
    <row r="159" spans="3:8">
      <c r="C159" s="115" t="s">
        <v>649</v>
      </c>
      <c r="D159" s="106" t="s">
        <v>650</v>
      </c>
      <c r="E159" s="116"/>
      <c r="F159" s="116"/>
      <c r="G159" s="116"/>
      <c r="H159" s="116"/>
    </row>
    <row r="160" spans="3:8">
      <c r="C160" s="115" t="s">
        <v>651</v>
      </c>
      <c r="D160" s="106" t="s">
        <v>652</v>
      </c>
      <c r="E160" s="116"/>
      <c r="F160" s="116"/>
      <c r="G160" s="116"/>
      <c r="H160" s="116"/>
    </row>
    <row r="161" spans="3:8">
      <c r="C161" s="115" t="s">
        <v>653</v>
      </c>
      <c r="D161" s="106" t="s">
        <v>654</v>
      </c>
      <c r="E161" s="116"/>
      <c r="F161" s="116"/>
      <c r="G161" s="116"/>
      <c r="H161" s="116"/>
    </row>
    <row r="162" spans="3:8">
      <c r="C162" s="115" t="s">
        <v>655</v>
      </c>
      <c r="D162" s="106" t="s">
        <v>656</v>
      </c>
      <c r="E162" s="116"/>
      <c r="F162" s="116"/>
      <c r="G162" s="116"/>
      <c r="H162" s="116"/>
    </row>
    <row r="163" spans="3:8">
      <c r="C163" s="115" t="s">
        <v>657</v>
      </c>
      <c r="D163" s="106" t="s">
        <v>658</v>
      </c>
      <c r="E163" s="116"/>
      <c r="F163" s="116"/>
      <c r="G163" s="116"/>
      <c r="H163" s="116"/>
    </row>
    <row r="164" spans="3:8">
      <c r="C164" s="115" t="s">
        <v>659</v>
      </c>
      <c r="D164" s="106" t="s">
        <v>660</v>
      </c>
      <c r="E164" s="116"/>
      <c r="F164" s="116"/>
      <c r="G164" s="116"/>
      <c r="H164" s="116"/>
    </row>
    <row r="165" spans="3:8">
      <c r="C165" s="115" t="s">
        <v>661</v>
      </c>
      <c r="D165" s="106" t="s">
        <v>662</v>
      </c>
      <c r="E165" s="116"/>
      <c r="F165" s="116"/>
      <c r="G165" s="116"/>
      <c r="H165" s="116"/>
    </row>
    <row r="166" spans="3:8" ht="25.5">
      <c r="C166" s="115" t="s">
        <v>663</v>
      </c>
      <c r="D166" s="106" t="s">
        <v>664</v>
      </c>
      <c r="E166" s="116"/>
      <c r="F166" s="116"/>
      <c r="G166" s="116"/>
      <c r="H166" s="116"/>
    </row>
    <row r="167" spans="3:8">
      <c r="C167" s="115" t="s">
        <v>665</v>
      </c>
      <c r="D167" s="106" t="s">
        <v>666</v>
      </c>
      <c r="E167" s="116"/>
      <c r="F167" s="116"/>
      <c r="G167" s="116"/>
      <c r="H167" s="116"/>
    </row>
    <row r="168" spans="3:8">
      <c r="C168" s="115" t="s">
        <v>667</v>
      </c>
      <c r="D168" s="106" t="s">
        <v>668</v>
      </c>
      <c r="E168" s="116"/>
      <c r="F168" s="116"/>
      <c r="G168" s="116"/>
      <c r="H168" s="116"/>
    </row>
    <row r="169" spans="3:8">
      <c r="C169" s="115" t="s">
        <v>662</v>
      </c>
      <c r="D169" s="107" t="s">
        <v>648</v>
      </c>
      <c r="E169" s="116"/>
      <c r="F169" s="116"/>
      <c r="G169" s="116"/>
      <c r="H169" s="116"/>
    </row>
    <row r="170" spans="3:8">
      <c r="C170" s="115" t="s">
        <v>669</v>
      </c>
      <c r="D170" s="107" t="s">
        <v>656</v>
      </c>
      <c r="E170" s="116"/>
      <c r="F170" s="116"/>
      <c r="G170" s="116"/>
      <c r="H170" s="116"/>
    </row>
    <row r="171" spans="3:8">
      <c r="C171" s="115" t="s">
        <v>670</v>
      </c>
      <c r="D171" s="107" t="s">
        <v>671</v>
      </c>
      <c r="E171" s="116"/>
      <c r="F171" s="116"/>
      <c r="G171" s="116"/>
      <c r="H171" s="116"/>
    </row>
    <row r="172" spans="3:8">
      <c r="C172" s="115" t="s">
        <v>672</v>
      </c>
      <c r="D172" s="118"/>
      <c r="E172" s="116"/>
      <c r="F172" s="116"/>
      <c r="G172" s="116"/>
      <c r="H172" s="116"/>
    </row>
    <row r="173" spans="3:8">
      <c r="C173" s="115" t="s">
        <v>673</v>
      </c>
      <c r="D173" s="118"/>
      <c r="E173" s="116"/>
      <c r="F173" s="116"/>
      <c r="G173" s="116"/>
      <c r="H173" s="116"/>
    </row>
    <row r="174" spans="3:8">
      <c r="C174" s="115" t="s">
        <v>674</v>
      </c>
      <c r="D174" s="118"/>
      <c r="E174" s="116"/>
      <c r="F174" s="116"/>
      <c r="G174" s="116"/>
      <c r="H174" s="116"/>
    </row>
    <row r="175" spans="3:8">
      <c r="C175" s="115" t="s">
        <v>675</v>
      </c>
      <c r="D175" s="118"/>
      <c r="E175" s="116"/>
      <c r="F175" s="116"/>
      <c r="G175" s="116"/>
      <c r="H175" s="116"/>
    </row>
    <row r="176" spans="3:8">
      <c r="C176" s="115" t="s">
        <v>676</v>
      </c>
      <c r="D176" s="118"/>
      <c r="E176" s="116"/>
      <c r="F176" s="116"/>
      <c r="G176" s="116"/>
      <c r="H176" s="116"/>
    </row>
    <row r="177" spans="3:8">
      <c r="C177" s="115" t="s">
        <v>677</v>
      </c>
      <c r="D177" s="118"/>
      <c r="E177" s="116"/>
      <c r="F177" s="116"/>
      <c r="G177" s="116"/>
      <c r="H177" s="116"/>
    </row>
    <row r="178" spans="3:8" ht="25.5">
      <c r="C178" s="115" t="s">
        <v>678</v>
      </c>
      <c r="D178" s="118"/>
      <c r="E178" s="116"/>
      <c r="F178" s="116"/>
      <c r="G178" s="116"/>
      <c r="H178" s="116"/>
    </row>
    <row r="179" spans="3:8">
      <c r="C179" s="115" t="s">
        <v>679</v>
      </c>
      <c r="D179" s="118"/>
      <c r="E179" s="116"/>
      <c r="F179" s="116"/>
      <c r="G179" s="116"/>
      <c r="H179" s="116"/>
    </row>
    <row r="180" spans="3:8">
      <c r="C180" s="115" t="s">
        <v>680</v>
      </c>
      <c r="D180" s="118"/>
      <c r="E180" s="116"/>
      <c r="F180" s="116"/>
      <c r="G180" s="116"/>
      <c r="H180" s="116"/>
    </row>
    <row r="181" spans="3:8">
      <c r="C181" s="115" t="s">
        <v>681</v>
      </c>
      <c r="D181" s="118"/>
      <c r="E181" s="116"/>
      <c r="F181" s="116"/>
      <c r="G181" s="116"/>
      <c r="H181" s="116"/>
    </row>
    <row r="182" spans="3:8">
      <c r="C182" s="115" t="s">
        <v>682</v>
      </c>
      <c r="D182" s="118"/>
      <c r="E182" s="116"/>
      <c r="F182" s="116"/>
      <c r="G182" s="116"/>
      <c r="H182" s="116"/>
    </row>
    <row r="183" spans="3:8">
      <c r="C183" s="115" t="s">
        <v>683</v>
      </c>
      <c r="D183" s="118"/>
      <c r="E183" s="116"/>
      <c r="F183" s="116"/>
      <c r="G183" s="116"/>
      <c r="H183" s="116"/>
    </row>
    <row r="184" spans="3:8">
      <c r="C184" s="115" t="s">
        <v>684</v>
      </c>
      <c r="D184" s="118"/>
      <c r="E184" s="116"/>
      <c r="F184" s="116"/>
      <c r="G184" s="116"/>
      <c r="H184" s="116"/>
    </row>
    <row r="185" spans="3:8">
      <c r="C185" s="115" t="s">
        <v>685</v>
      </c>
      <c r="D185" s="118"/>
      <c r="E185" s="116"/>
      <c r="F185" s="116"/>
      <c r="G185" s="116"/>
      <c r="H185" s="116"/>
    </row>
    <row r="186" spans="3:8">
      <c r="C186" s="115" t="s">
        <v>686</v>
      </c>
      <c r="D186" s="118"/>
      <c r="E186" s="116"/>
      <c r="F186" s="116"/>
      <c r="G186" s="116"/>
      <c r="H186" s="116"/>
    </row>
    <row r="187" spans="3:8">
      <c r="C187" s="115" t="s">
        <v>687</v>
      </c>
      <c r="D187" s="118"/>
      <c r="E187" s="116"/>
      <c r="F187" s="116"/>
      <c r="G187" s="116"/>
      <c r="H187" s="116"/>
    </row>
    <row r="188" spans="3:8" ht="25.5">
      <c r="C188" s="115" t="s">
        <v>688</v>
      </c>
      <c r="D188" s="118"/>
      <c r="E188" s="116"/>
      <c r="F188" s="116"/>
      <c r="G188" s="116"/>
      <c r="H188" s="116"/>
    </row>
    <row r="189" spans="3:8">
      <c r="C189" s="115" t="s">
        <v>689</v>
      </c>
      <c r="D189" s="118"/>
      <c r="E189" s="116"/>
      <c r="F189" s="116"/>
      <c r="G189" s="116"/>
      <c r="H189" s="116"/>
    </row>
    <row r="190" spans="3:8">
      <c r="C190" s="115" t="s">
        <v>690</v>
      </c>
      <c r="D190" s="118"/>
      <c r="E190" s="116"/>
      <c r="F190" s="116"/>
      <c r="G190" s="116"/>
      <c r="H190" s="116"/>
    </row>
    <row r="191" spans="3:8">
      <c r="C191" s="115" t="s">
        <v>691</v>
      </c>
      <c r="D191" s="118"/>
      <c r="E191" s="116"/>
      <c r="F191" s="116"/>
      <c r="G191" s="116"/>
      <c r="H191" s="116"/>
    </row>
    <row r="192" spans="3:8">
      <c r="C192" s="115" t="s">
        <v>692</v>
      </c>
      <c r="D192" s="118"/>
      <c r="E192" s="116"/>
      <c r="F192" s="116"/>
      <c r="G192" s="116"/>
      <c r="H192" s="116"/>
    </row>
    <row r="193" spans="3:8">
      <c r="C193" s="115" t="s">
        <v>693</v>
      </c>
      <c r="D193" s="118"/>
      <c r="E193" s="116"/>
      <c r="F193" s="116"/>
      <c r="G193" s="116"/>
      <c r="H193" s="116"/>
    </row>
    <row r="194" spans="3:8">
      <c r="C194" s="115" t="s">
        <v>694</v>
      </c>
      <c r="D194" s="118"/>
      <c r="E194" s="116"/>
      <c r="F194" s="116"/>
      <c r="G194" s="116"/>
      <c r="H194" s="116"/>
    </row>
    <row r="195" spans="3:8">
      <c r="C195" s="115" t="s">
        <v>695</v>
      </c>
      <c r="D195" s="118"/>
      <c r="E195" s="116"/>
      <c r="F195" s="116"/>
      <c r="G195" s="116"/>
      <c r="H195" s="116"/>
    </row>
    <row r="196" spans="3:8">
      <c r="C196" s="115" t="s">
        <v>696</v>
      </c>
      <c r="D196" s="118"/>
      <c r="E196" s="116"/>
      <c r="F196" s="116"/>
      <c r="G196" s="116"/>
      <c r="H196" s="116"/>
    </row>
    <row r="197" spans="3:8">
      <c r="C197" s="115" t="s">
        <v>697</v>
      </c>
      <c r="D197" s="118"/>
      <c r="E197" s="116"/>
      <c r="F197" s="116"/>
      <c r="G197" s="116"/>
      <c r="H197" s="116"/>
    </row>
    <row r="198" spans="3:8">
      <c r="C198" s="115" t="s">
        <v>698</v>
      </c>
      <c r="D198" s="118"/>
      <c r="E198" s="116"/>
      <c r="F198" s="116"/>
      <c r="G198" s="116"/>
      <c r="H198" s="116"/>
    </row>
    <row r="199" spans="3:8">
      <c r="C199" s="115" t="s">
        <v>699</v>
      </c>
      <c r="D199" s="118"/>
      <c r="E199" s="116"/>
      <c r="F199" s="116"/>
      <c r="G199" s="116"/>
      <c r="H199" s="116"/>
    </row>
    <row r="200" spans="3:8">
      <c r="C200" s="115" t="s">
        <v>700</v>
      </c>
      <c r="D200" s="118"/>
      <c r="E200" s="116"/>
      <c r="F200" s="116"/>
      <c r="G200" s="116"/>
      <c r="H200" s="116"/>
    </row>
    <row r="201" spans="3:8">
      <c r="C201" s="115" t="s">
        <v>701</v>
      </c>
      <c r="D201" s="118"/>
      <c r="E201" s="116"/>
      <c r="F201" s="116"/>
      <c r="G201" s="116"/>
      <c r="H201" s="116"/>
    </row>
    <row r="202" spans="3:8">
      <c r="C202" s="115" t="s">
        <v>702</v>
      </c>
      <c r="D202" s="118"/>
      <c r="E202" s="116"/>
      <c r="F202" s="116"/>
      <c r="G202" s="116"/>
      <c r="H202" s="116"/>
    </row>
    <row r="203" spans="3:8">
      <c r="C203" s="115" t="s">
        <v>703</v>
      </c>
      <c r="D203" s="118"/>
      <c r="E203" s="116"/>
      <c r="F203" s="116"/>
      <c r="G203" s="116"/>
      <c r="H203" s="116"/>
    </row>
    <row r="204" spans="3:8">
      <c r="C204" s="115" t="s">
        <v>704</v>
      </c>
      <c r="D204" s="118"/>
      <c r="E204" s="116"/>
      <c r="F204" s="116"/>
      <c r="G204" s="116"/>
      <c r="H204" s="116"/>
    </row>
    <row r="205" spans="3:8">
      <c r="C205" s="115" t="s">
        <v>705</v>
      </c>
      <c r="D205" s="118"/>
      <c r="E205" s="116"/>
      <c r="F205" s="116"/>
      <c r="G205" s="116"/>
      <c r="H205" s="116"/>
    </row>
    <row r="206" spans="3:8">
      <c r="C206" s="115" t="s">
        <v>706</v>
      </c>
      <c r="D206" s="118"/>
      <c r="E206" s="116"/>
      <c r="F206" s="116"/>
      <c r="G206" s="116"/>
      <c r="H206" s="116"/>
    </row>
    <row r="207" spans="3:8">
      <c r="C207" s="115" t="s">
        <v>707</v>
      </c>
      <c r="D207" s="118"/>
      <c r="E207" s="116"/>
      <c r="F207" s="116"/>
      <c r="G207" s="116"/>
      <c r="H207" s="116"/>
    </row>
    <row r="208" spans="3:8">
      <c r="C208" s="115" t="s">
        <v>708</v>
      </c>
      <c r="D208" s="118"/>
      <c r="E208" s="116"/>
      <c r="F208" s="116"/>
      <c r="G208" s="116"/>
      <c r="H208" s="116"/>
    </row>
    <row r="209" spans="3:8" ht="25.5">
      <c r="C209" s="115" t="s">
        <v>709</v>
      </c>
      <c r="D209" s="118"/>
      <c r="E209" s="116"/>
      <c r="F209" s="116"/>
      <c r="G209" s="116"/>
      <c r="H209" s="116"/>
    </row>
    <row r="210" spans="3:8" ht="25.5">
      <c r="C210" s="115" t="s">
        <v>710</v>
      </c>
      <c r="D210" s="118"/>
      <c r="E210" s="116"/>
      <c r="F210" s="116"/>
      <c r="G210" s="116"/>
      <c r="H210" s="116"/>
    </row>
    <row r="211" spans="3:8">
      <c r="C211" s="115" t="s">
        <v>711</v>
      </c>
      <c r="D211" s="118"/>
      <c r="E211" s="116"/>
      <c r="F211" s="116"/>
      <c r="G211" s="116"/>
      <c r="H211" s="116"/>
    </row>
    <row r="212" spans="3:8">
      <c r="C212" s="115" t="s">
        <v>712</v>
      </c>
      <c r="D212" s="118"/>
      <c r="E212" s="116"/>
      <c r="F212" s="116"/>
      <c r="G212" s="116"/>
      <c r="H212" s="116"/>
    </row>
    <row r="213" spans="3:8">
      <c r="C213" s="115" t="s">
        <v>713</v>
      </c>
      <c r="D213" s="118"/>
      <c r="E213" s="116"/>
      <c r="F213" s="116"/>
      <c r="G213" s="116"/>
      <c r="H213" s="116"/>
    </row>
    <row r="214" spans="3:8">
      <c r="C214" s="115" t="s">
        <v>714</v>
      </c>
      <c r="D214" s="118"/>
      <c r="E214" s="116"/>
      <c r="F214" s="116"/>
      <c r="G214" s="116"/>
      <c r="H214" s="116"/>
    </row>
    <row r="215" spans="3:8" ht="25.5">
      <c r="C215" s="115" t="s">
        <v>715</v>
      </c>
      <c r="D215" s="118"/>
      <c r="E215" s="116"/>
      <c r="F215" s="116"/>
      <c r="G215" s="116"/>
      <c r="H215" s="116"/>
    </row>
    <row r="216" spans="3:8">
      <c r="C216" s="115" t="s">
        <v>716</v>
      </c>
      <c r="D216" s="118"/>
      <c r="E216" s="116"/>
      <c r="F216" s="116"/>
      <c r="G216" s="116"/>
      <c r="H216" s="116"/>
    </row>
    <row r="217" spans="3:8">
      <c r="C217" s="115" t="s">
        <v>717</v>
      </c>
      <c r="D217" s="118"/>
      <c r="E217" s="116"/>
      <c r="F217" s="116"/>
      <c r="G217" s="116"/>
      <c r="H217" s="116"/>
    </row>
    <row r="218" spans="3:8">
      <c r="C218" s="115" t="s">
        <v>718</v>
      </c>
      <c r="D218" s="118"/>
      <c r="E218" s="116"/>
      <c r="F218" s="116"/>
      <c r="G218" s="116"/>
      <c r="H218" s="116"/>
    </row>
    <row r="219" spans="3:8">
      <c r="C219" s="115" t="s">
        <v>719</v>
      </c>
      <c r="D219" s="118"/>
      <c r="E219" s="116"/>
      <c r="F219" s="116"/>
      <c r="G219" s="116"/>
      <c r="H219" s="116"/>
    </row>
    <row r="220" spans="3:8">
      <c r="C220" s="115" t="s">
        <v>720</v>
      </c>
      <c r="D220" s="118"/>
      <c r="E220" s="116"/>
      <c r="F220" s="116"/>
      <c r="G220" s="116"/>
      <c r="H220" s="116"/>
    </row>
    <row r="221" spans="3:8">
      <c r="C221" s="115" t="s">
        <v>721</v>
      </c>
      <c r="D221" s="118"/>
      <c r="E221" s="116"/>
      <c r="F221" s="116"/>
      <c r="G221" s="116"/>
      <c r="H221" s="116"/>
    </row>
    <row r="222" spans="3:8">
      <c r="C222" s="115" t="s">
        <v>722</v>
      </c>
      <c r="D222" s="118"/>
      <c r="E222" s="116"/>
      <c r="F222" s="116"/>
      <c r="G222" s="116"/>
      <c r="H222" s="116"/>
    </row>
    <row r="223" spans="3:8" ht="25.5">
      <c r="C223" s="115" t="s">
        <v>723</v>
      </c>
      <c r="D223" s="118"/>
      <c r="E223" s="116"/>
      <c r="F223" s="116"/>
      <c r="G223" s="116"/>
      <c r="H223" s="116"/>
    </row>
    <row r="224" spans="3:8">
      <c r="C224" s="115" t="s">
        <v>724</v>
      </c>
      <c r="D224" s="118"/>
      <c r="E224" s="116"/>
      <c r="F224" s="116"/>
      <c r="G224" s="116"/>
      <c r="H224" s="116"/>
    </row>
    <row r="225" spans="3:8">
      <c r="C225" s="115" t="s">
        <v>725</v>
      </c>
      <c r="D225" s="118"/>
      <c r="E225" s="116"/>
      <c r="F225" s="116"/>
      <c r="G225" s="116"/>
      <c r="H225" s="116"/>
    </row>
    <row r="226" spans="3:8">
      <c r="C226" s="115" t="s">
        <v>726</v>
      </c>
      <c r="D226" s="118"/>
      <c r="E226" s="116"/>
      <c r="F226" s="116"/>
      <c r="G226" s="116"/>
      <c r="H226" s="116"/>
    </row>
    <row r="227" spans="3:8">
      <c r="C227" s="115" t="s">
        <v>727</v>
      </c>
      <c r="D227" s="118"/>
      <c r="E227" s="116"/>
      <c r="F227" s="116"/>
      <c r="G227" s="116"/>
      <c r="H227" s="116"/>
    </row>
    <row r="228" spans="3:8">
      <c r="C228" s="115" t="s">
        <v>728</v>
      </c>
      <c r="D228" s="118"/>
      <c r="E228" s="116"/>
      <c r="F228" s="116"/>
      <c r="G228" s="116"/>
      <c r="H228" s="116"/>
    </row>
    <row r="229" spans="3:8">
      <c r="C229" s="115" t="s">
        <v>729</v>
      </c>
      <c r="D229" s="118"/>
      <c r="E229" s="116"/>
      <c r="F229" s="116"/>
      <c r="G229" s="116"/>
      <c r="H229" s="116"/>
    </row>
    <row r="230" spans="3:8">
      <c r="C230" s="115" t="s">
        <v>730</v>
      </c>
      <c r="D230" s="118"/>
      <c r="E230" s="116"/>
      <c r="F230" s="116"/>
      <c r="G230" s="116"/>
      <c r="H230" s="116"/>
    </row>
  </sheetData>
  <mergeCells count="40">
    <mergeCell ref="D22:E22"/>
    <mergeCell ref="B2:H3"/>
    <mergeCell ref="D5:F7"/>
    <mergeCell ref="D9:F11"/>
    <mergeCell ref="D13:F13"/>
    <mergeCell ref="E15:F15"/>
    <mergeCell ref="D34:E34"/>
    <mergeCell ref="D23:E23"/>
    <mergeCell ref="D24:E24"/>
    <mergeCell ref="D25:E25"/>
    <mergeCell ref="D26:E26"/>
    <mergeCell ref="D27:E27"/>
    <mergeCell ref="D28:E28"/>
    <mergeCell ref="D29:E29"/>
    <mergeCell ref="D30:E30"/>
    <mergeCell ref="D31:E31"/>
    <mergeCell ref="D32:E32"/>
    <mergeCell ref="D33:E33"/>
    <mergeCell ref="D46:E46"/>
    <mergeCell ref="D35:E35"/>
    <mergeCell ref="D36:E36"/>
    <mergeCell ref="D37:E37"/>
    <mergeCell ref="D38:E38"/>
    <mergeCell ref="D39:E39"/>
    <mergeCell ref="D40:E40"/>
    <mergeCell ref="D41:E41"/>
    <mergeCell ref="D42:E42"/>
    <mergeCell ref="D43:E43"/>
    <mergeCell ref="D44:E44"/>
    <mergeCell ref="D45:E45"/>
    <mergeCell ref="D53:E53"/>
    <mergeCell ref="D54:E54"/>
    <mergeCell ref="D55:E55"/>
    <mergeCell ref="C57:G58"/>
    <mergeCell ref="D47:E47"/>
    <mergeCell ref="D48:E48"/>
    <mergeCell ref="D49:E49"/>
    <mergeCell ref="D50:E50"/>
    <mergeCell ref="D51:E51"/>
    <mergeCell ref="D52:E52"/>
  </mergeCells>
  <dataValidations count="1">
    <dataValidation type="list" allowBlank="1" showInputMessage="1" showErrorMessage="1" sqref="D13:F13" xr:uid="{00000000-0002-0000-0600-000000000000}">
      <formula1>Tool_Name</formula1>
    </dataValidation>
  </dataValidations>
  <hyperlinks>
    <hyperlink ref="G37" r:id="rId1" xr:uid="{00000000-0004-0000-0600-000000000000}"/>
    <hyperlink ref="D31" r:id="rId2" xr:uid="{00000000-0004-0000-0600-000001000000}"/>
    <hyperlink ref="D29" r:id="rId3" xr:uid="{00000000-0004-0000-0600-000002000000}"/>
    <hyperlink ref="D27" r:id="rId4" xr:uid="{00000000-0004-0000-0600-000003000000}"/>
    <hyperlink ref="D38" r:id="rId5" xr:uid="{00000000-0004-0000-0600-000004000000}"/>
    <hyperlink ref="D23" r:id="rId6" location="/login" xr:uid="{00000000-0004-0000-0600-000005000000}"/>
    <hyperlink ref="D47" r:id="rId7" xr:uid="{00000000-0004-0000-0600-000006000000}"/>
    <hyperlink ref="D55" r:id="rId8" xr:uid="{00000000-0004-0000-0600-000007000000}"/>
    <hyperlink ref="D30" r:id="rId9" location="GENERAL_HomeView" xr:uid="{00000000-0004-0000-0600-000008000000}"/>
    <hyperlink ref="D39" r:id="rId10" xr:uid="{00000000-0004-0000-0600-000009000000}"/>
    <hyperlink ref="G50" r:id="rId11" xr:uid="{00000000-0004-0000-0600-00000A000000}"/>
    <hyperlink ref="D41" r:id="rId12" xr:uid="{00000000-0004-0000-0600-00000B000000}"/>
    <hyperlink ref="D24" r:id="rId13" xr:uid="{00000000-0004-0000-0600-00000C000000}"/>
    <hyperlink ref="D54" r:id="rId14" xr:uid="{00000000-0004-0000-0600-00000D000000}"/>
    <hyperlink ref="D44" r:id="rId15" xr:uid="{00000000-0004-0000-0600-00000E000000}"/>
    <hyperlink ref="D52" r:id="rId16" xr:uid="{00000000-0004-0000-0600-00000F000000}"/>
    <hyperlink ref="D46" r:id="rId17" xr:uid="{00000000-0004-0000-0600-000010000000}"/>
    <hyperlink ref="D26" r:id="rId18" location="/login" xr:uid="{00000000-0004-0000-0600-000011000000}"/>
    <hyperlink ref="F48" r:id="rId19" xr:uid="{00000000-0004-0000-0600-000012000000}"/>
    <hyperlink ref="G48" r:id="rId20" xr:uid="{00000000-0004-0000-0600-000013000000}"/>
  </hyperlinks>
  <pageMargins left="0.7" right="0.7" top="0.75" bottom="0.75" header="0.3" footer="0.3"/>
  <drawing r:id="rId2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25"/>
  <sheetViews>
    <sheetView topLeftCell="A4" zoomScale="115" zoomScaleNormal="115" workbookViewId="0">
      <selection activeCell="E9" sqref="E9"/>
    </sheetView>
  </sheetViews>
  <sheetFormatPr defaultRowHeight="15"/>
  <cols>
    <col min="1" max="1" width="43.42578125" bestFit="1" customWidth="1"/>
    <col min="2" max="2" width="33.28515625" customWidth="1"/>
    <col min="3" max="3" width="41.7109375" customWidth="1"/>
    <col min="4" max="4" width="1.5703125" customWidth="1"/>
    <col min="5" max="5" width="24.140625" customWidth="1"/>
    <col min="6" max="6" width="39.28515625" customWidth="1"/>
  </cols>
  <sheetData>
    <row r="1" spans="1:6" ht="21">
      <c r="A1" s="232" t="s">
        <v>120</v>
      </c>
      <c r="B1" s="234" t="s">
        <v>121</v>
      </c>
      <c r="C1" s="234"/>
      <c r="D1" s="14"/>
      <c r="E1" s="234" t="s">
        <v>122</v>
      </c>
      <c r="F1" s="235"/>
    </row>
    <row r="2" spans="1:6" ht="16.5" thickBot="1">
      <c r="A2" s="233"/>
      <c r="B2" s="15" t="s">
        <v>123</v>
      </c>
      <c r="C2" s="16" t="s">
        <v>124</v>
      </c>
      <c r="D2" s="17"/>
      <c r="E2" s="15" t="s">
        <v>123</v>
      </c>
      <c r="F2" s="18" t="s">
        <v>124</v>
      </c>
    </row>
    <row r="3" spans="1:6" ht="30">
      <c r="A3" s="19" t="s">
        <v>125</v>
      </c>
      <c r="B3" s="20" t="s">
        <v>126</v>
      </c>
      <c r="C3" s="21" t="s">
        <v>127</v>
      </c>
      <c r="D3" s="22"/>
      <c r="E3" s="23" t="s">
        <v>128</v>
      </c>
      <c r="F3" s="24" t="s">
        <v>129</v>
      </c>
    </row>
    <row r="4" spans="1:6" ht="45" customHeight="1">
      <c r="A4" s="25" t="s">
        <v>130</v>
      </c>
      <c r="B4" s="26" t="s">
        <v>131</v>
      </c>
      <c r="C4" s="27" t="s">
        <v>132</v>
      </c>
      <c r="D4" s="28"/>
      <c r="E4" s="29" t="s">
        <v>133</v>
      </c>
      <c r="F4" s="30" t="s">
        <v>134</v>
      </c>
    </row>
    <row r="5" spans="1:6" ht="83.25" customHeight="1">
      <c r="A5" s="25" t="s">
        <v>135</v>
      </c>
      <c r="B5" s="26" t="s">
        <v>136</v>
      </c>
      <c r="C5" s="27" t="s">
        <v>137</v>
      </c>
      <c r="D5" s="28"/>
      <c r="E5" s="29" t="s">
        <v>138</v>
      </c>
      <c r="F5" s="30" t="s">
        <v>139</v>
      </c>
    </row>
    <row r="6" spans="1:6" ht="60">
      <c r="A6" s="25" t="s">
        <v>140</v>
      </c>
      <c r="B6" s="26" t="s">
        <v>141</v>
      </c>
      <c r="C6" s="27" t="s">
        <v>142</v>
      </c>
      <c r="D6" s="28"/>
      <c r="E6" s="29" t="s">
        <v>143</v>
      </c>
      <c r="F6" s="30" t="s">
        <v>144</v>
      </c>
    </row>
    <row r="7" spans="1:6" ht="63.75">
      <c r="A7" s="25" t="s">
        <v>145</v>
      </c>
      <c r="B7" s="26" t="s">
        <v>146</v>
      </c>
      <c r="C7" s="27" t="s">
        <v>147</v>
      </c>
      <c r="D7" s="28"/>
      <c r="E7" s="29" t="s">
        <v>148</v>
      </c>
      <c r="F7" s="31" t="s">
        <v>149</v>
      </c>
    </row>
    <row r="8" spans="1:6" ht="76.5">
      <c r="A8" s="25" t="s">
        <v>150</v>
      </c>
      <c r="B8" s="26" t="s">
        <v>151</v>
      </c>
      <c r="C8" s="27" t="s">
        <v>152</v>
      </c>
      <c r="D8" s="28"/>
      <c r="E8" s="29" t="s">
        <v>153</v>
      </c>
      <c r="F8" s="30" t="s">
        <v>154</v>
      </c>
    </row>
    <row r="9" spans="1:6" ht="127.5">
      <c r="A9" s="25" t="s">
        <v>155</v>
      </c>
      <c r="B9" s="26" t="s">
        <v>156</v>
      </c>
      <c r="C9" s="27" t="s">
        <v>157</v>
      </c>
      <c r="D9" s="28"/>
      <c r="E9" s="29" t="s">
        <v>158</v>
      </c>
      <c r="F9" s="30" t="s">
        <v>159</v>
      </c>
    </row>
    <row r="10" spans="1:6" ht="47.25" customHeight="1" thickBot="1">
      <c r="A10" s="32" t="s">
        <v>160</v>
      </c>
      <c r="B10" s="33" t="s">
        <v>161</v>
      </c>
      <c r="C10" s="34" t="s">
        <v>162</v>
      </c>
      <c r="D10" s="35"/>
      <c r="E10" s="36" t="s">
        <v>163</v>
      </c>
      <c r="F10" s="37" t="s">
        <v>164</v>
      </c>
    </row>
    <row r="11" spans="1:6">
      <c r="A11" s="236" t="s">
        <v>165</v>
      </c>
      <c r="B11" s="38"/>
      <c r="C11" s="39"/>
      <c r="D11" s="40"/>
      <c r="E11" s="41"/>
      <c r="F11" s="42"/>
    </row>
    <row r="12" spans="1:6">
      <c r="A12" s="237"/>
      <c r="B12" s="43"/>
      <c r="C12" s="44"/>
      <c r="D12" s="45"/>
      <c r="E12" s="29" t="s">
        <v>166</v>
      </c>
      <c r="F12" s="30" t="s">
        <v>167</v>
      </c>
    </row>
    <row r="13" spans="1:6" ht="38.25">
      <c r="A13" s="237"/>
      <c r="B13" s="43"/>
      <c r="C13" s="27" t="s">
        <v>168</v>
      </c>
      <c r="D13" s="28"/>
      <c r="E13" s="46"/>
      <c r="F13" s="30" t="s">
        <v>169</v>
      </c>
    </row>
    <row r="14" spans="1:6" ht="38.25">
      <c r="A14" s="237"/>
      <c r="B14" s="47"/>
      <c r="C14" s="27" t="s">
        <v>170</v>
      </c>
      <c r="D14" s="28"/>
      <c r="E14" s="46"/>
      <c r="F14" s="30" t="s">
        <v>171</v>
      </c>
    </row>
    <row r="15" spans="1:6" ht="25.5">
      <c r="A15" s="237"/>
      <c r="B15" s="43"/>
      <c r="C15" s="27"/>
      <c r="D15" s="28"/>
      <c r="E15" s="46"/>
      <c r="F15" s="30" t="s">
        <v>172</v>
      </c>
    </row>
    <row r="16" spans="1:6" ht="25.5">
      <c r="A16" s="237"/>
      <c r="B16" s="43"/>
      <c r="C16" s="27"/>
      <c r="D16" s="28"/>
      <c r="E16" s="46"/>
      <c r="F16" s="30" t="s">
        <v>173</v>
      </c>
    </row>
    <row r="17" spans="1:6" ht="25.5">
      <c r="A17" s="237"/>
      <c r="B17" s="43"/>
      <c r="C17" s="27"/>
      <c r="D17" s="28"/>
      <c r="E17" s="46"/>
      <c r="F17" s="30" t="s">
        <v>174</v>
      </c>
    </row>
    <row r="18" spans="1:6">
      <c r="A18" s="237"/>
      <c r="B18" s="47"/>
      <c r="C18" s="48" t="s">
        <v>175</v>
      </c>
      <c r="D18" s="49"/>
      <c r="E18" s="46"/>
      <c r="F18" s="30" t="s">
        <v>176</v>
      </c>
    </row>
    <row r="19" spans="1:6">
      <c r="A19" s="238"/>
      <c r="B19" s="50"/>
      <c r="C19" s="34"/>
      <c r="D19" s="35"/>
      <c r="E19" s="51"/>
      <c r="F19" s="52" t="s">
        <v>177</v>
      </c>
    </row>
    <row r="20" spans="1:6">
      <c r="A20" s="238"/>
      <c r="B20" s="50"/>
      <c r="C20" s="34"/>
      <c r="D20" s="35"/>
      <c r="E20" s="51"/>
      <c r="F20" s="52" t="s">
        <v>178</v>
      </c>
    </row>
    <row r="21" spans="1:6" ht="26.25" thickBot="1">
      <c r="A21" s="239"/>
      <c r="B21" s="53"/>
      <c r="C21" s="54" t="s">
        <v>179</v>
      </c>
      <c r="D21" s="55"/>
      <c r="E21" s="56"/>
      <c r="F21" s="57" t="s">
        <v>180</v>
      </c>
    </row>
    <row r="22" spans="1:6" ht="30">
      <c r="A22" s="19" t="s">
        <v>181</v>
      </c>
      <c r="B22" s="58" t="s">
        <v>182</v>
      </c>
      <c r="C22" s="21" t="s">
        <v>183</v>
      </c>
      <c r="D22" s="22"/>
      <c r="E22" s="59"/>
      <c r="F22" s="24" t="s">
        <v>184</v>
      </c>
    </row>
    <row r="23" spans="1:6" ht="285">
      <c r="A23" s="25" t="s">
        <v>185</v>
      </c>
      <c r="B23" s="60" t="s">
        <v>186</v>
      </c>
      <c r="C23" s="61" t="s">
        <v>187</v>
      </c>
      <c r="D23" s="62"/>
      <c r="E23" s="46" t="s">
        <v>188</v>
      </c>
      <c r="F23" s="30" t="s">
        <v>189</v>
      </c>
    </row>
    <row r="24" spans="1:6" ht="60">
      <c r="A24" s="25" t="s">
        <v>190</v>
      </c>
      <c r="B24" s="43"/>
      <c r="C24" s="48" t="s">
        <v>191</v>
      </c>
      <c r="D24" s="49"/>
      <c r="E24" s="46"/>
      <c r="F24" s="30" t="s">
        <v>192</v>
      </c>
    </row>
    <row r="25" spans="1:6" ht="150.75" thickBot="1">
      <c r="A25" s="63" t="s">
        <v>193</v>
      </c>
      <c r="B25" s="64" t="s">
        <v>194</v>
      </c>
      <c r="C25" s="65" t="s">
        <v>195</v>
      </c>
      <c r="D25" s="66"/>
      <c r="E25" s="67"/>
      <c r="F25" s="57" t="s">
        <v>196</v>
      </c>
    </row>
  </sheetData>
  <mergeCells count="4">
    <mergeCell ref="A1:A2"/>
    <mergeCell ref="B1:C1"/>
    <mergeCell ref="E1:F1"/>
    <mergeCell ref="A11:A2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0D844-4828-4828-99AF-A80D95CD8AD6}">
  <sheetPr codeName="Sheet9"/>
  <dimension ref="A1:N34"/>
  <sheetViews>
    <sheetView zoomScale="145" zoomScaleNormal="145" workbookViewId="0">
      <selection activeCell="K6" sqref="K6"/>
    </sheetView>
  </sheetViews>
  <sheetFormatPr defaultRowHeight="15"/>
  <cols>
    <col min="5" max="5" width="8.42578125" bestFit="1" customWidth="1"/>
    <col min="6" max="6" width="11.7109375" bestFit="1" customWidth="1"/>
    <col min="7" max="7" width="17.42578125" bestFit="1" customWidth="1"/>
    <col min="8" max="8" width="12" bestFit="1" customWidth="1"/>
    <col min="9" max="9" width="10.85546875" bestFit="1" customWidth="1"/>
    <col min="10" max="10" width="10.42578125" bestFit="1" customWidth="1"/>
    <col min="11" max="11" width="15" bestFit="1" customWidth="1"/>
    <col min="12" max="12" width="4.140625" bestFit="1" customWidth="1"/>
  </cols>
  <sheetData>
    <row r="1" spans="1:14">
      <c r="A1" s="240" t="s">
        <v>899</v>
      </c>
      <c r="B1" s="241"/>
      <c r="C1" s="97" t="s">
        <v>315</v>
      </c>
      <c r="D1" s="97" t="s">
        <v>282</v>
      </c>
      <c r="E1" s="149" t="s">
        <v>907</v>
      </c>
      <c r="F1" s="181" t="s">
        <v>921</v>
      </c>
      <c r="G1" s="179" t="s">
        <v>916</v>
      </c>
      <c r="H1" s="179" t="s">
        <v>917</v>
      </c>
      <c r="I1" s="179" t="s">
        <v>918</v>
      </c>
      <c r="J1" s="179" t="s">
        <v>919</v>
      </c>
      <c r="K1" s="179" t="s">
        <v>920</v>
      </c>
      <c r="L1" s="149" t="s">
        <v>907</v>
      </c>
    </row>
    <row r="2" spans="1:14">
      <c r="A2" s="98">
        <v>46068</v>
      </c>
      <c r="B2" s="94">
        <v>57</v>
      </c>
      <c r="C2" s="98">
        <v>46082</v>
      </c>
      <c r="D2" s="94" t="s">
        <v>768</v>
      </c>
      <c r="E2" s="178">
        <f>IF(D2="off",0,1)</f>
        <v>0</v>
      </c>
      <c r="F2" s="182">
        <f>D33</f>
        <v>75</v>
      </c>
      <c r="G2" s="80">
        <v>2</v>
      </c>
      <c r="H2" s="80">
        <v>0</v>
      </c>
      <c r="I2" s="183">
        <v>1</v>
      </c>
      <c r="J2" s="183">
        <v>1</v>
      </c>
      <c r="K2" s="183">
        <v>1</v>
      </c>
      <c r="L2" s="180">
        <f>E33</f>
        <v>5</v>
      </c>
      <c r="M2" s="150"/>
      <c r="N2" s="150"/>
    </row>
    <row r="3" spans="1:14">
      <c r="A3" s="98">
        <v>46069</v>
      </c>
      <c r="B3" s="94" t="s">
        <v>768</v>
      </c>
      <c r="C3" s="98">
        <v>46083</v>
      </c>
      <c r="D3" s="94">
        <v>74</v>
      </c>
      <c r="E3" s="94">
        <f t="shared" ref="E3:E10" si="0">IF(D3="off",0,1)</f>
        <v>1</v>
      </c>
    </row>
    <row r="4" spans="1:14">
      <c r="A4" s="98">
        <v>46070</v>
      </c>
      <c r="B4" s="94" t="s">
        <v>768</v>
      </c>
      <c r="C4" s="98">
        <v>46084</v>
      </c>
      <c r="D4" s="94" t="s">
        <v>768</v>
      </c>
      <c r="E4" s="94">
        <f t="shared" si="0"/>
        <v>0</v>
      </c>
    </row>
    <row r="5" spans="1:14">
      <c r="A5" s="98">
        <v>46071</v>
      </c>
      <c r="B5" s="94">
        <v>75</v>
      </c>
      <c r="C5" s="98">
        <v>46085</v>
      </c>
      <c r="D5" s="94">
        <v>79</v>
      </c>
      <c r="E5" s="94">
        <f t="shared" si="0"/>
        <v>1</v>
      </c>
    </row>
    <row r="6" spans="1:14">
      <c r="A6" s="98">
        <v>46072</v>
      </c>
      <c r="B6" s="94">
        <v>65</v>
      </c>
      <c r="C6" s="98">
        <v>46086</v>
      </c>
      <c r="D6" s="94">
        <v>70</v>
      </c>
      <c r="E6" s="94">
        <f t="shared" si="0"/>
        <v>1</v>
      </c>
    </row>
    <row r="7" spans="1:14">
      <c r="A7" s="98">
        <v>46073</v>
      </c>
      <c r="B7" s="94">
        <v>71</v>
      </c>
      <c r="C7" s="98">
        <v>46087</v>
      </c>
      <c r="D7" s="94">
        <v>76</v>
      </c>
      <c r="E7" s="94">
        <f t="shared" si="0"/>
        <v>1</v>
      </c>
    </row>
    <row r="8" spans="1:14">
      <c r="A8" s="98">
        <v>46074</v>
      </c>
      <c r="B8" s="94">
        <v>65</v>
      </c>
      <c r="C8" s="98">
        <v>46088</v>
      </c>
      <c r="D8" s="94">
        <v>76</v>
      </c>
      <c r="E8" s="94">
        <f t="shared" si="0"/>
        <v>1</v>
      </c>
    </row>
    <row r="9" spans="1:14">
      <c r="A9" s="98">
        <v>46075</v>
      </c>
      <c r="B9" s="94">
        <v>57</v>
      </c>
      <c r="C9" s="98">
        <v>46089</v>
      </c>
      <c r="D9" s="94" t="s">
        <v>768</v>
      </c>
      <c r="E9" s="94">
        <f t="shared" si="0"/>
        <v>0</v>
      </c>
    </row>
    <row r="10" spans="1:14">
      <c r="A10" s="98">
        <v>46076</v>
      </c>
      <c r="B10" s="94" t="s">
        <v>768</v>
      </c>
      <c r="C10" s="98">
        <v>46090</v>
      </c>
      <c r="D10" s="94" t="s">
        <v>768</v>
      </c>
      <c r="E10" s="94">
        <f t="shared" si="0"/>
        <v>0</v>
      </c>
    </row>
    <row r="11" spans="1:14">
      <c r="A11" s="98">
        <v>46077</v>
      </c>
      <c r="B11" s="94" t="s">
        <v>768</v>
      </c>
      <c r="C11" s="98">
        <v>46091</v>
      </c>
      <c r="D11" s="94"/>
      <c r="E11" s="166"/>
    </row>
    <row r="12" spans="1:14">
      <c r="A12" s="98">
        <v>46078</v>
      </c>
      <c r="B12" s="94">
        <v>44</v>
      </c>
      <c r="C12" s="98">
        <v>46092</v>
      </c>
      <c r="D12" s="94"/>
      <c r="E12" s="166"/>
    </row>
    <row r="13" spans="1:14">
      <c r="A13" s="98">
        <v>46079</v>
      </c>
      <c r="B13" s="94">
        <v>53</v>
      </c>
      <c r="C13" s="98">
        <v>46093</v>
      </c>
      <c r="D13" s="94"/>
      <c r="E13" s="166"/>
    </row>
    <row r="14" spans="1:14">
      <c r="A14" s="98">
        <v>46080</v>
      </c>
      <c r="B14" s="94">
        <v>75</v>
      </c>
      <c r="C14" s="98">
        <v>46094</v>
      </c>
      <c r="D14" s="94"/>
      <c r="E14" s="166"/>
    </row>
    <row r="15" spans="1:14">
      <c r="A15" s="98">
        <v>46081</v>
      </c>
      <c r="B15" s="94">
        <v>75</v>
      </c>
      <c r="C15" s="98">
        <v>46095</v>
      </c>
      <c r="D15" s="94"/>
      <c r="E15" s="166"/>
    </row>
    <row r="16" spans="1:14">
      <c r="A16" s="160" t="s">
        <v>898</v>
      </c>
      <c r="B16" s="161">
        <f>AVERAGE(B2:B15)</f>
        <v>63.7</v>
      </c>
      <c r="C16" s="98">
        <v>46096</v>
      </c>
      <c r="D16" s="94"/>
      <c r="E16" s="166"/>
    </row>
    <row r="17" spans="3:5">
      <c r="C17" s="98">
        <v>46097</v>
      </c>
      <c r="D17" s="94"/>
      <c r="E17" s="166"/>
    </row>
    <row r="18" spans="3:5">
      <c r="C18" s="98">
        <v>46098</v>
      </c>
      <c r="D18" s="94"/>
      <c r="E18" s="166"/>
    </row>
    <row r="19" spans="3:5">
      <c r="C19" s="98">
        <v>46099</v>
      </c>
      <c r="D19" s="94"/>
      <c r="E19" s="166"/>
    </row>
    <row r="20" spans="3:5">
      <c r="C20" s="98">
        <v>46100</v>
      </c>
      <c r="D20" s="94"/>
      <c r="E20" s="166"/>
    </row>
    <row r="21" spans="3:5">
      <c r="C21" s="98">
        <v>46101</v>
      </c>
      <c r="D21" s="94"/>
      <c r="E21" s="166"/>
    </row>
    <row r="22" spans="3:5">
      <c r="C22" s="98">
        <v>46102</v>
      </c>
      <c r="D22" s="94"/>
      <c r="E22" s="166"/>
    </row>
    <row r="23" spans="3:5">
      <c r="C23" s="98">
        <v>46103</v>
      </c>
      <c r="D23" s="94"/>
      <c r="E23" s="166"/>
    </row>
    <row r="24" spans="3:5">
      <c r="C24" s="98">
        <v>46104</v>
      </c>
      <c r="D24" s="94"/>
      <c r="E24" s="166"/>
    </row>
    <row r="25" spans="3:5">
      <c r="C25" s="98">
        <v>46105</v>
      </c>
      <c r="D25" s="94"/>
      <c r="E25" s="166"/>
    </row>
    <row r="26" spans="3:5">
      <c r="C26" s="98">
        <v>46106</v>
      </c>
      <c r="D26" s="94"/>
      <c r="E26" s="166"/>
    </row>
    <row r="27" spans="3:5">
      <c r="C27" s="98">
        <v>46107</v>
      </c>
      <c r="D27" s="94"/>
      <c r="E27" s="166"/>
    </row>
    <row r="28" spans="3:5">
      <c r="C28" s="98">
        <v>46108</v>
      </c>
      <c r="D28" s="94"/>
      <c r="E28" s="166"/>
    </row>
    <row r="29" spans="3:5">
      <c r="C29" s="98">
        <v>46109</v>
      </c>
      <c r="D29" s="94"/>
      <c r="E29" s="166"/>
    </row>
    <row r="30" spans="3:5">
      <c r="C30" s="98">
        <v>46110</v>
      </c>
      <c r="D30" s="94"/>
      <c r="E30" s="166"/>
    </row>
    <row r="31" spans="3:5">
      <c r="C31" s="98">
        <v>46111</v>
      </c>
      <c r="D31" s="94"/>
      <c r="E31" s="166"/>
    </row>
    <row r="32" spans="3:5">
      <c r="C32" s="98">
        <v>46112</v>
      </c>
      <c r="D32" s="94"/>
      <c r="E32" s="166"/>
    </row>
    <row r="33" spans="3:5">
      <c r="C33" s="160" t="s">
        <v>898</v>
      </c>
      <c r="D33" s="161">
        <f>AVERAGE(D2:D32)</f>
        <v>75</v>
      </c>
      <c r="E33" s="161">
        <f>SUM(E2:E32)</f>
        <v>5</v>
      </c>
    </row>
    <row r="34" spans="3:5">
      <c r="E34" s="167" t="s">
        <v>908</v>
      </c>
    </row>
  </sheetData>
  <mergeCells count="1">
    <mergeCell ref="A1:B1"/>
  </mergeCells>
  <conditionalFormatting sqref="B2:B15">
    <cfRule type="expression" dxfId="7" priority="5">
      <formula>$C$10=9999</formula>
    </cfRule>
    <cfRule type="cellIs" dxfId="6" priority="6" operator="equal">
      <formula>"off"</formula>
    </cfRule>
    <cfRule type="cellIs" dxfId="5" priority="7" operator="lessThan">
      <formula>64</formula>
    </cfRule>
    <cfRule type="cellIs" dxfId="4" priority="8" operator="greaterThan">
      <formula>64</formula>
    </cfRule>
  </conditionalFormatting>
  <conditionalFormatting sqref="D2:D32">
    <cfRule type="expression" dxfId="3" priority="1">
      <formula>$C$10=9999</formula>
    </cfRule>
    <cfRule type="cellIs" dxfId="2" priority="2" operator="equal">
      <formula>"off"</formula>
    </cfRule>
    <cfRule type="cellIs" dxfId="1" priority="3" operator="lessThan">
      <formula>64</formula>
    </cfRule>
    <cfRule type="cellIs" dxfId="0" priority="4" operator="greaterThan">
      <formula>64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Main replies</vt:lpstr>
      <vt:lpstr>VAS</vt:lpstr>
      <vt:lpstr>My Target</vt:lpstr>
      <vt:lpstr>other</vt:lpstr>
      <vt:lpstr>Mail Matrix</vt:lpstr>
      <vt:lpstr>VAT Calculation</vt:lpstr>
      <vt:lpstr>Macro</vt:lpstr>
      <vt:lpstr>Tools</vt:lpstr>
      <vt:lpstr>Say &amp; Dont Say </vt:lpstr>
      <vt:lpstr>Perfomance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Khaled Eid Ext</dc:creator>
  <cp:lastModifiedBy>Amr</cp:lastModifiedBy>
  <dcterms:created xsi:type="dcterms:W3CDTF">2026-02-04T21:31:05Z</dcterms:created>
  <dcterms:modified xsi:type="dcterms:W3CDTF">2026-03-10T03:40:02Z</dcterms:modified>
</cp:coreProperties>
</file>